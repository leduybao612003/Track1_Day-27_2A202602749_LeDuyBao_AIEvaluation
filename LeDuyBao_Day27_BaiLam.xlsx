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07ab8a8e4f4fc7" /></Relationships>
</file>

<file path=xl/workbook.xml><?xml version="1.0" encoding="utf-8"?>
<x:workbook xmlns:x="http://schemas.openxmlformats.org/spreadsheetml/2006/main">
  <x:sheets>
    <x:sheet xmlns:r="http://schemas.openxmlformats.org/officeDocument/2006/relationships" name="Tổng hợp" sheetId="1" r:id="R9f4b5ee39bd14519"/>
    <x:sheet xmlns:r="http://schemas.openxmlformats.org/officeDocument/2006/relationships" name="Bài 1" sheetId="2" r:id="R50e4566ee15b4e38"/>
    <x:sheet xmlns:r="http://schemas.openxmlformats.org/officeDocument/2006/relationships" name="Bài 2" sheetId="3" r:id="Rf65c095024c1446e"/>
    <x:sheet xmlns:r="http://schemas.openxmlformats.org/officeDocument/2006/relationships" name="Bài 3" sheetId="4" r:id="R1848216d56bd4403"/>
    <x:sheet xmlns:r="http://schemas.openxmlformats.org/officeDocument/2006/relationships" name="Bài 4" sheetId="5" r:id="R0ebd009613d54e9b"/>
    <x:sheet xmlns:r="http://schemas.openxmlformats.org/officeDocument/2006/relationships" name="Bài 5" sheetId="6" r:id="R0c8cdb2412094c83"/>
    <x:sheet xmlns:r="http://schemas.openxmlformats.org/officeDocument/2006/relationships" name="Xưởng" sheetId="7" r:id="R385206537b654f9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0%"/>
    <x:numFmt numFmtId="203" formatCode="0.00"/>
    <x:numFmt numFmtId="204" formatCode="0.0000"/>
  </x:numFmts>
  <x:fonts count="8">
    <x:font>
      <x:sz val="11"/>
      <x:name val="Carlito"/>
    </x:font>
    <x:font>
      <x:sz val="11"/>
      <x:color rgb="FF172B4D"/>
      <x:name val="Arial"/>
    </x:font>
    <x:font>
      <x:b/>
      <x:sz val="15"/>
      <x:color rgb="FF9F1239"/>
      <x:name val="Arial"/>
    </x:font>
    <x:font>
      <x:b/>
      <x:sz val="11"/>
      <x:color rgb="FFFFFFFF"/>
      <x:name val="Arial"/>
    </x:font>
    <x:font>
      <x:b/>
      <x:sz val="11"/>
      <x:color rgb="FF7F1D1D"/>
      <x:name val="Arial"/>
    </x:font>
    <x:font>
      <x:sz val="11"/>
      <x:color rgb="FF000000"/>
      <x:name val="Arial"/>
    </x:font>
    <x:font>
      <x:b/>
      <x:sz val="15"/>
      <x:color rgb="FF000000"/>
      <x:name val="Arial"/>
    </x:font>
    <x:font>
      <x:b/>
      <x:sz val="11"/>
      <x:color rgb="FF000000"/>
      <x:name val="Arial"/>
    </x:font>
  </x:fonts>
  <x:fills count="7">
    <x:fill>
      <x:patternFill patternType="none"/>
    </x:fill>
    <x:fill>
      <x:patternFill patternType="gray125"/>
    </x:fill>
    <x:fill>
      <x:patternFill patternType="solid">
        <x:fgColor rgb="FF7F1D1D"/>
      </x:patternFill>
    </x:fill>
    <x:fill>
      <x:patternFill patternType="solid">
        <x:fgColor rgb="FFFFF5F5"/>
      </x:patternFill>
    </x:fill>
    <x:fill>
      <x:patternFill patternType="solid">
        <x:fgColor rgb="FFFFF2CC"/>
      </x:patternFill>
    </x:fill>
    <x:fill>
      <x:patternFill patternType="solid">
        <x:fgColor rgb="FFFCE7E9"/>
      </x:patternFill>
    </x:fill>
    <x:fill>
      <x:patternFill patternType="solid">
        <x:fgColor rgb="FFFFFFFF"/>
      </x:patternFill>
    </x:fill>
  </x:fills>
  <x:borders count="3">
    <x:border>
      <x:left/>
      <x:right/>
      <x:top/>
      <x:bottom/>
      <x:diagonal/>
    </x:border>
    <x:border>
      <x:left/>
      <x:right/>
      <x:top/>
      <x:bottom style="thin">
        <x:color rgb="FF9F1239"/>
      </x:bottom>
      <x:diagonal/>
    </x:border>
    <x:border diagonalUp="0" diagonalDown="0">
      <x:left style="none"/>
      <x:right style="none"/>
      <x:top style="none"/>
      <x:bottom style="none"/>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204" fontId="1"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5" borderId="0" xfId="0" applyNumberFormat="1" applyFont="1" applyFill="1" applyBorder="1" applyAlignment="1">
      <x:alignment vertical="top"/>
    </x:xf>
    <x:xf numFmtId="0" fontId="4" fillId="5" borderId="0" xfId="0" applyNumberFormat="1" applyFont="1" applyFill="1" applyBorder="1" applyAlignment="1">
      <x:alignment vertical="top"/>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1" fillId="6" borderId="0" xfId="0" applyNumberFormat="1" applyFont="1" applyFill="1" applyBorder="1" applyAlignment="1">
      <x:alignment vertical="top"/>
    </x:xf>
    <x:xf numFmtId="0" fontId="2" fillId="6" borderId="1" xfId="0" applyNumberFormat="1" applyFont="1" applyFill="1" applyBorder="1" applyAlignment="1">
      <x:alignment vertical="top"/>
    </x:xf>
    <x:xf numFmtId="0" fontId="3"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203" fontId="1" fillId="6" borderId="0" xfId="0" applyNumberFormat="1" applyFont="1" applyFill="1" applyBorder="1" applyAlignment="1">
      <x:alignment vertical="top" wrapText="1"/>
    </x:xf>
    <x:xf numFmtId="0" fontId="5" fillId="6" borderId="0" xfId="0" applyNumberFormat="1" applyFont="1" applyFill="1" applyBorder="1" applyAlignment="1">
      <x:alignment vertical="top"/>
    </x:xf>
    <x:xf numFmtId="0" fontId="6" fillId="6" borderId="1" xfId="0" applyNumberFormat="1" applyFont="1" applyFill="1" applyBorder="1" applyAlignment="1">
      <x:alignment vertical="top"/>
    </x:xf>
    <x:xf numFmtId="0" fontId="7" fillId="6" borderId="0" xfId="0" applyNumberFormat="1" applyFont="1" applyFill="1" applyBorder="1" applyAlignment="1">
      <x:alignment horizontal="center" vertical="center" wrapText="1"/>
    </x:xf>
    <x:xf numFmtId="0" fontId="5" fillId="6" borderId="0" xfId="0" applyNumberFormat="1" applyFont="1" applyFill="1" applyBorder="1" applyAlignment="1">
      <x:alignment vertical="top" wrapText="1"/>
    </x:xf>
    <x:xf numFmtId="202" fontId="5" fillId="6" borderId="0" xfId="0" applyNumberFormat="1" applyFont="1" applyFill="1" applyBorder="1" applyAlignment="1">
      <x:alignment vertical="top" wrapText="1"/>
    </x:xf>
    <x:xf numFmtId="203" fontId="5" fillId="6" borderId="0" xfId="0" applyNumberFormat="1" applyFont="1" applyFill="1" applyBorder="1" applyAlignment="1">
      <x:alignment vertical="top" wrapText="1"/>
    </x:xf>
    <x:xf numFmtId="0" fontId="7" fillId="6" borderId="1" xfId="0" applyNumberFormat="1" applyFont="1" applyFill="1" applyBorder="1" applyAlignment="1">
      <x:alignment vertical="top"/>
    </x:xf>
    <x:xf numFmtId="0" fontId="5" fillId="6" borderId="2" xfId="0" applyNumberFormat="1" applyFont="1" applyFill="1" applyBorder="1" applyAlignment="1">
      <x:alignment vertical="top"/>
    </x:xf>
    <x:xf numFmtId="0" fontId="7" fillId="6" borderId="2" xfId="0" applyNumberFormat="1" applyFont="1" applyFill="1" applyBorder="1" applyAlignment="1">
      <x:alignment vertical="top"/>
    </x:xf>
    <x:xf numFmtId="0" fontId="7" fillId="6" borderId="2" xfId="0" applyNumberFormat="1" applyFont="1" applyFill="1" applyBorder="1" applyAlignment="1">
      <x:alignment horizontal="center" vertical="center" wrapText="1"/>
    </x:xf>
    <x:xf numFmtId="0" fontId="5" fillId="6" borderId="2" xfId="0" applyNumberFormat="1" applyFont="1" applyFill="1" applyBorder="1" applyAlignment="1">
      <x:alignment vertical="top" wrapText="1"/>
    </x:xf>
    <x:xf numFmtId="202" fontId="5" fillId="6" borderId="2" xfId="0" applyNumberFormat="1" applyFont="1" applyFill="1" applyBorder="1" applyAlignment="1">
      <x:alignment vertical="top" wrapText="1"/>
    </x:xf>
    <x:xf numFmtId="203" fontId="5" fillId="6" borderId="2"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0" fontId="5" fillId="6" borderId="0" xfId="0" applyNumberFormat="1" applyFont="1" applyFill="1" applyBorder="1" applyAlignment="1">
      <x:alignment vertical="top" wrapText="1"/>
    </x:xf>
    <x:xf numFmtId="201" fontId="5" fillId="6" borderId="0"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1" fontId="5" fillId="6" borderId="2" xfId="0" applyNumberFormat="1" applyFont="1" applyFill="1" applyBorder="1" applyAlignment="1">
      <x:alignment vertical="top" wrapText="1"/>
    </x:xf>
    <x:xf numFmtId="204" fontId="1" fillId="6" borderId="0" xfId="0" applyNumberFormat="1" applyFont="1" applyFill="1" applyBorder="1" applyAlignment="1">
      <x:alignment vertical="top" wrapText="1"/>
    </x:xf>
    <x:xf numFmtId="204" fontId="1" fillId="6" borderId="0" xfId="0" applyNumberFormat="1" applyFont="1" applyFill="1" applyBorder="1" applyAlignment="1">
      <x:alignment vertical="top"/>
    </x:xf>
    <x:xf numFmtId="204" fontId="5" fillId="6" borderId="0" xfId="0" applyNumberFormat="1" applyFont="1" applyFill="1" applyBorder="1" applyAlignment="1">
      <x:alignment vertical="top" wrapText="1"/>
    </x:xf>
    <x:xf numFmtId="204" fontId="5" fillId="6" borderId="0" xfId="0" applyNumberFormat="1" applyFont="1" applyFill="1" applyBorder="1" applyAlignment="1">
      <x:alignment vertical="top"/>
    </x:xf>
    <x:xf numFmtId="204" fontId="5" fillId="6" borderId="2" xfId="0" applyNumberFormat="1" applyFont="1" applyFill="1" applyBorder="1" applyAlignment="1">
      <x:alignment vertical="top" wrapText="1"/>
    </x:xf>
    <x:xf numFmtId="204" fontId="5" fillId="6" borderId="2" xfId="0" applyNumberFormat="1" applyFont="1" applyFill="1" applyBorder="1" applyAlignment="1">
      <x:alignment vertical="top"/>
    </x:xf>
    <x:xf numFmtId="0" fontId="4" fillId="6" borderId="0" xfId="0" applyNumberFormat="1" applyFont="1" applyFill="1" applyBorder="1" applyAlignment="1">
      <x:alignment vertical="top"/>
    </x:xf>
    <x:xf numFmtId="0" fontId="7"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c79e820d4c4864" /><Relationship Type="http://schemas.openxmlformats.org/officeDocument/2006/relationships/theme" Target="/xl/theme/theme1.xml" Id="R18b8808ffc2d417f" /><Relationship Type="http://schemas.openxmlformats.org/officeDocument/2006/relationships/sharedStrings" Target="/xl/sharedStrings.xml" Id="R66da3744939e4e1b" /><Relationship Type="http://schemas.openxmlformats.org/officeDocument/2006/relationships/worksheet" Target="/xl/worksheets/sheet1.xml" Id="R9f4b5ee39bd14519" /><Relationship Type="http://schemas.openxmlformats.org/officeDocument/2006/relationships/worksheet" Target="/xl/worksheets/sheet2.xml" Id="R50e4566ee15b4e38" /><Relationship Type="http://schemas.openxmlformats.org/officeDocument/2006/relationships/worksheet" Target="/xl/worksheets/sheet3.xml" Id="Rf65c095024c1446e" /><Relationship Type="http://schemas.openxmlformats.org/officeDocument/2006/relationships/worksheet" Target="/xl/worksheets/sheet4.xml" Id="R1848216d56bd4403" /><Relationship Type="http://schemas.openxmlformats.org/officeDocument/2006/relationships/worksheet" Target="/xl/worksheets/sheet5.xml" Id="R0ebd009613d54e9b" /><Relationship Type="http://schemas.openxmlformats.org/officeDocument/2006/relationships/worksheet" Target="/xl/worksheets/sheet6.xml" Id="R0c8cdb2412094c83" /><Relationship Type="http://schemas.openxmlformats.org/officeDocument/2006/relationships/worksheet" Target="/xl/worksheets/sheet7.xml" Id="R385206537b654f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24" hidden="0" customWidth="1"/>
    <x:col min="2" max="2" width="95" hidden="0" customWidth="1"/>
    <x:col min="3" max="3" width="60"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CS12 — Bài làm đánh giá sản phẩm AI</x:v>
      </x:c>
      <x:c r="B2" s="40"/>
      <x:c r="C2" s="40"/>
      <x:c r="D2" s="40"/>
      <x:c r="E2" s="39"/>
      <x:c r="F2" s="39"/>
      <x:c r="G2" s="39"/>
      <x:c r="H2" s="39"/>
    </x:row>
    <x:row r="3">
      <x:c r="A3" s="39"/>
      <x:c r="B3" s="39"/>
      <x:c r="C3" s="39"/>
      <x:c r="D3" s="39"/>
      <x:c r="E3" s="39"/>
      <x:c r="F3" s="39"/>
      <x:c r="G3" s="39"/>
      <x:c r="H3" s="39"/>
    </x:row>
    <x:row r="4">
      <x:c r="A4" s="39"/>
      <x:c r="B4" s="39"/>
      <x:c r="C4" s="39"/>
      <x:c r="D4" s="39"/>
      <x:c r="E4" s="39"/>
      <x:c r="F4" s="39"/>
      <x:c r="G4" s="39"/>
      <x:c r="H4" s="39"/>
    </x:row>
    <x:row r="5" ht="34" customHeight="1">
      <x:c r="A5" s="41" t="str">
        <x:v>Mục</x:v>
      </x:c>
      <x:c r="B5" s="41" t="str">
        <x:v>Nội dung</x:v>
      </x:c>
      <x:c r="C5" s="39"/>
      <x:c r="D5" s="39"/>
      <x:c r="E5" s="39"/>
      <x:c r="F5" s="39"/>
      <x:c r="G5" s="39"/>
      <x:c r="H5" s="39"/>
    </x:row>
    <x:row r="6" ht="31" customHeight="1">
      <x:c r="A6" s="42" t="str">
        <x:v>Học viên</x:v>
      </x:c>
      <x:c r="B6" s="42" t="str">
        <x:v>Lê Duy Bảo · 2A202602749</x:v>
      </x:c>
      <x:c r="C6" s="39"/>
      <x:c r="D6" s="39"/>
      <x:c r="E6" s="39"/>
      <x:c r="F6" s="39"/>
      <x:c r="G6" s="39"/>
      <x:c r="H6" s="39"/>
    </x:row>
    <x:row r="7" ht="31" customHeight="1">
      <x:c r="A7" s="42" t="str">
        <x:v>Phạm vi</x:v>
      </x:c>
      <x:c r="B7" s="42" t="str">
        <x:v>Đã giải Bài 1–5 và X1–X7. Đây là workbook riêng vì chưa lấy được CS12_BaiTap_HocVien.xlsx.</x:v>
      </x:c>
      <x:c r="C7" s="39"/>
      <x:c r="D7" s="39"/>
      <x:c r="E7" s="39"/>
      <x:c r="F7" s="39"/>
      <x:c r="G7" s="39"/>
      <x:c r="H7" s="39"/>
    </x:row>
    <x:row r="8" ht="42" customHeight="1">
      <x:c r="A8" s="42" t="str">
        <x:v>Trước khi nộp</x:v>
      </x:c>
      <x:c r="B8" s="42" t="str">
        <x:v>Điền tên nhóm/thành viên tại Xưởng dòng 3; chuyển bài sang file mẫu nếu VLearn bắt buộc đúng mẫu.</x:v>
      </x:c>
      <x:c r="C8" s="39"/>
      <x:c r="D8" s="39"/>
      <x:c r="E8" s="39"/>
      <x:c r="F8" s="39"/>
      <x:c r="G8" s="39"/>
      <x:c r="H8" s="39"/>
    </x:row>
    <x:row r="9" ht="42" customHeight="1">
      <x:c r="A9" s="42" t="str">
        <x:v>Dữ liệu</x:v>
      </x:c>
      <x:c r="B9" s="42" t="str">
        <x:v>Số liệu Mộc Store lấy từ tình huống giả định trong đề ngày 16/10/2026; không phải kết quả vận hành thật.</x:v>
      </x:c>
      <x:c r="C9" s="39"/>
      <x:c r="D9" s="39"/>
      <x:c r="E9" s="39"/>
      <x:c r="F9" s="39"/>
      <x:c r="G9" s="39"/>
      <x:c r="H9" s="39"/>
    </x:row>
    <x:row r="10" ht="42" customHeight="1">
      <x:c r="A10" s="42" t="str">
        <x:v>Đề xuất nhóm</x:v>
      </x:c>
      <x:c r="B10" s="42" t="str">
        <x:v>Lưới X2, 8 ca X3, rubric X5 và kế hoạch X7 là nội dung được xây dựng cho bài làm. Ngưỡng giám sát mới là đề xuất.</x:v>
      </x:c>
      <x:c r="C10" s="39"/>
      <x:c r="D10" s="39"/>
      <x:c r="E10" s="39"/>
      <x:c r="F10" s="39"/>
      <x:c r="G10" s="39"/>
      <x:c r="H10" s="39"/>
    </x:row>
    <x:row r="11">
      <x:c r="A11" s="39"/>
      <x:c r="B11" s="39"/>
      <x:c r="C11" s="39"/>
      <x:c r="D11" s="39"/>
      <x:c r="E11" s="39"/>
      <x:c r="F11" s="39"/>
      <x:c r="G11" s="39"/>
      <x:c r="H11" s="39"/>
    </x:row>
    <x:row r="12">
      <x:c r="A12" s="39"/>
      <x:c r="B12" s="39"/>
      <x:c r="C12" s="39"/>
      <x:c r="D12" s="39"/>
      <x:c r="E12" s="39"/>
      <x:c r="F12" s="39"/>
      <x:c r="G12" s="39"/>
      <x:c r="H12" s="39"/>
    </x:row>
    <x:row r="13" ht="34" customHeight="1">
      <x:c r="A13" s="41" t="str">
        <x:v>Kết quả</x:v>
      </x:c>
      <x:c r="B13" s="41" t="str">
        <x:v>Giá trị</x:v>
      </x:c>
      <x:c r="C13" s="41" t="str">
        <x:v>Ý nghĩa</x:v>
      </x:c>
      <x:c r="D13" s="39"/>
      <x:c r="E13" s="39"/>
      <x:c r="F13" s="39"/>
      <x:c r="G13" s="39"/>
      <x:c r="H13" s="39"/>
    </x:row>
    <x:row r="14" ht="31" customHeight="1">
      <x:c r="A14" s="42" t="str">
        <x:v>Bài 5 TPR</x:v>
      </x:c>
      <x:c r="B14" s="43" t="n">
        <x:f>'Bài 5'!C13</x:f>
        <x:v>0.875</x:v>
      </x:c>
      <x:c r="C14" s="42" t="str">
        <x:v>≥85%</x:v>
      </x:c>
      <x:c r="D14" s="39"/>
      <x:c r="E14" s="39"/>
      <x:c r="F14" s="39"/>
      <x:c r="G14" s="39"/>
      <x:c r="H14" s="39"/>
    </x:row>
    <x:row r="15" ht="31" customHeight="1">
      <x:c r="A15" s="42" t="str">
        <x:v>Bài 5 TNR</x:v>
      </x:c>
      <x:c r="B15" s="43" t="n">
        <x:f>'Bài 5'!C14</x:f>
        <x:v>0.5</x:v>
      </x:c>
      <x:c r="C15" s="42" t="str">
        <x:v>&lt;85%: cần siết tiêu chí Không đạt</x:v>
      </x:c>
      <x:c r="D15" s="39"/>
      <x:c r="E15" s="39"/>
      <x:c r="F15" s="39"/>
      <x:c r="G15" s="39"/>
      <x:c r="H15" s="39"/>
    </x:row>
    <x:row r="16" ht="31" customHeight="1">
      <x:c r="A16" s="42" t="str">
        <x:v>Bài 5 kappa</x:v>
      </x:c>
      <x:c r="B16" s="44" t="n">
        <x:f>'Bài 5'!C17</x:f>
        <x:v>0.39999999999999997</x:v>
      </x:c>
      <x:c r="C16" s="42" t="str">
        <x:v>Điều chỉnh theo đồng thuận ngẫu nhiên</x:v>
      </x:c>
      <x:c r="D16" s="39"/>
      <x:c r="E16" s="39"/>
      <x:c r="F16" s="39"/>
      <x:c r="G16" s="39"/>
      <x:c r="H16" s="39"/>
    </x:row>
    <x:row r="17" ht="31" customHeight="1">
      <x:c r="A17" s="42" t="str">
        <x:v>X6 TPR</x:v>
      </x:c>
      <x:c r="B17" s="43" t="n">
        <x:f>'Xưởng'!B107</x:f>
        <x:v>0.8571428571428571</x:v>
      </x:c>
      <x:c r="C17" s="42" t="str">
        <x:v>&lt;90%: giảm chặn nhầm</x:v>
      </x:c>
      <x:c r="D17" s="39"/>
      <x:c r="E17" s="39"/>
      <x:c r="F17" s="39"/>
      <x:c r="G17" s="39"/>
      <x:c r="H17" s="39"/>
    </x:row>
    <x:row r="18" ht="31" customHeight="1">
      <x:c r="A18" s="42" t="str">
        <x:v>X6 TNR</x:v>
      </x:c>
      <x:c r="B18" s="43" t="n">
        <x:f>'Xưởng'!B108</x:f>
        <x:v>1</x:v>
      </x:c>
      <x:c r="C18" s="42" t="str">
        <x:v>≥90%</x:v>
      </x:c>
      <x:c r="D18" s="39"/>
      <x:c r="E18" s="39"/>
      <x:c r="F18" s="39"/>
      <x:c r="G18" s="39"/>
      <x:c r="H18" s="39"/>
    </x:row>
    <x:row r="19" ht="31" customHeight="1">
      <x:c r="A19" s="42" t="str">
        <x:v>X7 quyết định</x:v>
      </x:c>
      <x:c r="B19" s="42" t="str">
        <x:f>'Xưởng'!B124</x:f>
        <x:v>Phát hành</x:v>
      </x:c>
      <x:c r="C19" s="42" t="str">
        <x:v>Theo đúng bảng số liệu X7</x:v>
      </x:c>
      <x:c r="D19" s="39"/>
      <x:c r="E19" s="39"/>
      <x:c r="F19" s="39"/>
      <x:c r="G19" s="39"/>
      <x:c r="H19" s="39"/>
    </x:row>
    <x:row r="20">
      <x:c r="A20" s="39"/>
      <x:c r="B20" s="39"/>
      <x:c r="C20" s="39"/>
      <x:c r="D20" s="39"/>
      <x:c r="E20" s="39"/>
      <x:c r="F20" s="39"/>
      <x:c r="G20" s="39"/>
      <x:c r="H20" s="39"/>
    </x:row>
    <x:row r="21">
      <x:c r="A21" s="39"/>
      <x:c r="B21" s="39"/>
      <x:c r="C21" s="39"/>
      <x:c r="D21" s="39"/>
      <x:c r="E21" s="39"/>
      <x:c r="F21" s="39"/>
      <x:c r="G21" s="39"/>
      <x:c r="H21" s="39"/>
    </x:row>
    <x:row r="22">
      <x:c r="A22" s="39"/>
      <x:c r="B22" s="39"/>
      <x:c r="C22" s="39"/>
      <x:c r="D22" s="39"/>
      <x:c r="E22" s="39"/>
      <x:c r="F22" s="39"/>
      <x:c r="G22" s="39"/>
      <x:c r="H22" s="39"/>
    </x:row>
    <x:row r="23" ht="34" customHeight="1">
      <x:c r="A23" s="41" t="str">
        <x:v>Nguồn</x:v>
      </x:c>
      <x:c r="B23" s="41" t="str">
        <x:v>Chi tiết</x:v>
      </x:c>
      <x:c r="C23" s="39"/>
      <x:c r="D23" s="39"/>
      <x:c r="E23" s="39"/>
      <x:c r="F23" s="39"/>
      <x:c r="G23" s="39"/>
      <x:c r="H23" s="39"/>
    </x:row>
    <x:row r="24" ht="42" customHeight="1">
      <x:c r="A24" s="42" t="str">
        <x:v>Đề bài</x:v>
      </x:c>
      <x:c r="B24" s="42" t="str">
        <x:v>CS12_DeBai, 14 trang, VLearn ngày 16/10/2026. https://vlearn.dev/course/k04-l34-p2-t1/reader?day=D18&amp;part=lab-df7e18b6-s01-p-265bd766&amp;page=7</x:v>
      </x:c>
      <x:c r="C24" s="39"/>
      <x:c r="D24" s="39"/>
      <x:c r="E24" s="39"/>
      <x:c r="F24" s="39"/>
      <x:c r="G24" s="39"/>
      <x:c r="H24" s="39"/>
    </x:row>
    <x:row r="25" ht="42" customHeight="1">
      <x:c r="A25" s="42" t="str">
        <x:v>Lý thuyết</x:v>
      </x:c>
      <x:c r="B25" s="42" t="str">
        <x:v>AI Evaluation, Mai Anh Nguyen, 66 trang. Đối chiếu trang 18 về cỡ mẫu; trang 56 về hiệu chỉnh; trang 55 về các bẫy giám khảo.</x:v>
      </x:c>
      <x:c r="C25" s="39"/>
      <x:c r="D25" s="39"/>
      <x:c r="E25" s="39"/>
      <x:c r="F25" s="39"/>
      <x:c r="G25" s="39"/>
      <x:c r="H25" s="39"/>
    </x:row>
    <x:row r="26" ht="42" customHeight="1">
      <x:c r="A26" s="42" t="str">
        <x:v>Tính giới hạn</x:v>
      </x:c>
      <x:c r="B26" s="42" t="str">
        <x:v>Mức giảm 2 điểm được chấp nhận theo quy tắc của đề; 50 tin chưa tự chứng minh đó là nhiễu thống kê. Chỉ dùng để trả lời bài tập.</x:v>
      </x:c>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row r="30">
      <x:c r="A30" s="39"/>
      <x:c r="B30" s="39"/>
      <x:c r="C30" s="39"/>
      <x:c r="D30" s="39"/>
      <x:c r="E30" s="39"/>
      <x:c r="F30" s="39"/>
      <x:c r="G30" s="39"/>
      <x:c r="H30" s="39"/>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row r="35">
      <x:c r="A35" s="39"/>
      <x:c r="B35" s="39"/>
      <x:c r="C35" s="39"/>
      <x:c r="D35" s="39"/>
      <x:c r="E35" s="39"/>
      <x:c r="F35" s="39"/>
      <x:c r="G35" s="39"/>
      <x:c r="H35" s="39"/>
    </x:row>
    <x:row r="36">
      <x:c r="A36" s="39"/>
      <x:c r="B36" s="39"/>
      <x:c r="C36" s="39"/>
      <x:c r="D36" s="39"/>
      <x:c r="E36" s="39"/>
      <x:c r="F36" s="39"/>
      <x:c r="G36" s="39"/>
      <x:c r="H36" s="39"/>
    </x:row>
    <x:row r="37">
      <x:c r="A37" s="39"/>
      <x:c r="B37" s="39"/>
      <x:c r="C37" s="39"/>
      <x:c r="D37" s="39"/>
      <x:c r="E37" s="39"/>
      <x:c r="F37" s="39"/>
      <x:c r="G37" s="39"/>
      <x:c r="H37" s="39"/>
    </x:row>
    <x:row r="38">
      <x:c r="A38" s="39"/>
      <x:c r="B38" s="39"/>
      <x:c r="C38" s="39"/>
      <x:c r="D38" s="39"/>
      <x:c r="E38" s="39"/>
      <x:c r="F38" s="39"/>
      <x:c r="G38" s="39"/>
      <x:c r="H38" s="39"/>
    </x:row>
    <x:row r="39">
      <x:c r="A39" s="39"/>
      <x:c r="B39" s="39"/>
      <x:c r="C39" s="39"/>
      <x:c r="D39" s="39"/>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x:c r="A42" s="39"/>
      <x:c r="B42" s="39"/>
      <x:c r="C42" s="39"/>
      <x:c r="D42" s="39"/>
      <x:c r="E42" s="39"/>
      <x:c r="F42" s="39"/>
      <x:c r="G42" s="39"/>
      <x:c r="H42" s="39"/>
    </x:row>
    <x:row r="43">
      <x:c r="A43" s="39"/>
      <x:c r="B43" s="39"/>
      <x:c r="C43" s="39"/>
      <x:c r="D43" s="39"/>
      <x:c r="E43" s="39"/>
      <x:c r="F43" s="39"/>
      <x:c r="G43" s="39"/>
      <x:c r="H43" s="39"/>
    </x:row>
    <x:row r="44">
      <x:c r="A44" s="39"/>
      <x:c r="B44" s="39"/>
      <x:c r="C44" s="39"/>
      <x:c r="D44" s="39"/>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Bài 1 — Đáp án và giải thích</x:v>
      </x:c>
      <x:c r="B2" s="40"/>
      <x:c r="C2" s="40"/>
      <x:c r="D2" s="40"/>
      <x:c r="E2" s="39"/>
      <x:c r="F2" s="39"/>
      <x:c r="G2" s="39"/>
      <x:c r="H2" s="39"/>
    </x:row>
    <x:row r="3">
      <x:c r="A3" s="39" t="str">
        <x:v>Lê Duy Bảo</x:v>
      </x:c>
      <x:c r="B3" s="39"/>
      <x:c r="C3" s="39"/>
      <x:c r="D3" s="39"/>
      <x:c r="E3" s="39"/>
      <x:c r="F3" s="39"/>
      <x:c r="G3" s="39"/>
      <x:c r="H3" s="39"/>
    </x:row>
    <x:row r="4">
      <x:c r="A4" s="39"/>
      <x:c r="B4" s="39"/>
      <x:c r="C4" s="39"/>
      <x:c r="D4" s="39"/>
      <x:c r="E4" s="39"/>
      <x:c r="F4" s="39"/>
      <x:c r="G4" s="39"/>
      <x:c r="H4" s="39"/>
    </x:row>
    <x:row r="5" ht="34" customHeight="1">
      <x:c r="A5" s="41" t="str">
        <x:v>Câu</x:v>
      </x:c>
      <x:c r="B5" s="41" t="str">
        <x:v>Nội dung</x:v>
      </x:c>
      <x:c r="C5" s="41" t="str">
        <x:v>Đáp án</x:v>
      </x:c>
      <x:c r="D5" s="41" t="str">
        <x:v>Giải thích</x:v>
      </x:c>
      <x:c r="E5" s="39"/>
      <x:c r="F5" s="39"/>
      <x:c r="G5" s="39"/>
      <x:c r="H5" s="39"/>
    </x:row>
    <x:row r="6" ht="42" customHeight="1">
      <x:c r="A6" s="49" t="str">
        <x:v>1.1</x:v>
      </x:c>
      <x:c r="B6" s="42" t="str">
        <x:v>Mức thay đổi khi 1 tin đổi kết quả</x:v>
      </x:c>
      <x:c r="C6" s="42" t="n">
        <x:f>100/B22</x:f>
        <x:v>2</x:v>
      </x:c>
      <x:c r="D6" s="42" t="str">
        <x:v>1/50 × 100 = 2 điểm phần trăm.</x:v>
      </x:c>
      <x:c r="E6" s="39"/>
      <x:c r="F6" s="39"/>
      <x:c r="G6" s="39"/>
      <x:c r="H6" s="39"/>
    </x:row>
    <x:row r="7" ht="31" customHeight="1">
      <x:c r="A7" s="49" t="str">
        <x:v>1.2</x:v>
      </x:c>
      <x:c r="B7" s="42" t="str">
        <x:v>Tỷ lệ đúng tổng v1.4</x:v>
      </x:c>
      <x:c r="C7" s="50" t="n">
        <x:f>D22/B22</x:f>
        <x:v>0.84</x:v>
      </x:c>
      <x:c r="D7" s="42" t="str">
        <x:v>42/50 = 84%.</x:v>
      </x:c>
      <x:c r="E7" s="39"/>
      <x:c r="F7" s="39"/>
      <x:c r="G7" s="39"/>
      <x:c r="H7" s="39"/>
    </x:row>
    <x:row r="8" ht="42" customHeight="1">
      <x:c r="A8" s="49" t="str">
        <x:v>1.3</x:v>
      </x:c>
      <x:c r="B8" s="42" t="str">
        <x:v>Qua cổng ≥82%?</x:v>
      </x:c>
      <x:c r="C8" s="42" t="str">
        <x:v>Có</x:v>
      </x:c>
      <x:c r="D8" s="42" t="str">
        <x:v>84% ≥ 82%. Qua cổng chưa đủ để tự động quyết định phát hành.</x:v>
      </x:c>
      <x:c r="E8" s="39"/>
      <x:c r="F8" s="39"/>
      <x:c r="G8" s="39"/>
      <x:c r="H8" s="39"/>
    </x:row>
    <x:row r="9" ht="31" customHeight="1">
      <x:c r="A9" s="49" t="str">
        <x:v>1.4</x:v>
      </x:c>
      <x:c r="B9" s="42" t="str">
        <x:v>Tra cứu đơn đúng ở v1.4</x:v>
      </x:c>
      <x:c r="C9" s="50" t="n">
        <x:f>D21/B21</x:f>
        <x:v>0.6</x:v>
      </x:c>
      <x:c r="D9" s="42" t="str">
        <x:v>6/10 = 60%.</x:v>
      </x:c>
      <x:c r="E9" s="39"/>
      <x:c r="F9" s="39"/>
      <x:c r="G9" s="39"/>
      <x:c r="H9" s="39"/>
    </x:row>
    <x:row r="10" ht="31" customHeight="1">
      <x:c r="A10" s="49" t="str">
        <x:v>1.5</x:v>
      </x:c>
      <x:c r="B10" s="42" t="str">
        <x:v>Mức giảm nhóm Tra cứu đơn</x:v>
      </x:c>
      <x:c r="C10" s="42" t="n">
        <x:f>(C21-D21)/B21*100</x:f>
        <x:v>30</x:v>
      </x:c>
      <x:c r="D10" s="42" t="str">
        <x:v>9/10 − 6/10 = 30 điểm phần trăm.</x:v>
      </x:c>
      <x:c r="E10" s="39"/>
      <x:c r="F10" s="39"/>
      <x:c r="G10" s="39"/>
      <x:c r="H10" s="39"/>
    </x:row>
    <x:row r="11" ht="42" customHeight="1">
      <x:c r="A11" s="49" t="str">
        <x:v>1.6</x:v>
      </x:c>
      <x:c r="B11" s="42" t="str">
        <x:v>Kết luận</x:v>
      </x:c>
      <x:c r="C11" s="42" t="str">
        <x:v>B</x:v>
      </x:c>
      <x:c r="D11" s="42" t="str">
        <x:v>Mở 3 tin hồi quy ở Tra cứu đơn, xác định nguyên nhân trước khi quyết định phát hành.</x:v>
      </x:c>
      <x:c r="E11" s="39"/>
      <x:c r="F11" s="39"/>
      <x:c r="G11" s="39"/>
      <x:c r="H11" s="39"/>
    </x:row>
    <x:row r="12" ht="42" customHeight="1">
      <x:c r="A12" s="49" t="str">
        <x:v>1.7</x:v>
      </x:c>
      <x:c r="B12" s="42" t="str">
        <x:v>Chênh 3 điểm, độ tin 95%</x:v>
      </x:c>
      <x:c r="C12" s="42" t="str">
        <x:v>Khoảng 1.000 ca</x:v>
      </x:c>
      <x:c r="D12" s="42" t="str">
        <x:v>Theo slide lý thuyết trang 18. Đây là quy tắc ước lượng trong bài; cỡ mẫu thực tế còn phụ thuộc thiết kế và tỷ lệ nền.</x:v>
      </x:c>
      <x:c r="E12" s="39"/>
      <x:c r="F12" s="39"/>
      <x:c r="G12" s="39"/>
      <x:c r="H12" s="39"/>
    </x:row>
    <x:row r="13" ht="42" customHeight="1">
      <x:c r="A13" s="49" t="str">
        <x:v>1.8</x:v>
      </x:c>
      <x:c r="B13" s="42" t="str">
        <x:v>Đơn vị công việc đo được</x:v>
      </x:c>
      <x:c r="C13" s="42" t="str">
        <x:v>B</x:v>
      </x:c>
      <x:c r="D13" s="42" t="str">
        <x:v>Đọc 1 tin nhắn đổi trả → gắn đúng 1 trong 4 nhãn ý định, dưới 2 giây.</x:v>
      </x:c>
      <x:c r="E13" s="39"/>
      <x:c r="F13" s="39"/>
      <x:c r="G13" s="39"/>
      <x:c r="H13" s="39"/>
    </x:row>
    <x:row r="14" ht="31" customHeight="1">
      <x:c r="A14" s="49" t="str">
        <x:v>1.9</x:v>
      </x:c>
      <x:c r="B14" s="42" t="str">
        <x:v>Tách rõ ràng/mơ hồ</x:v>
      </x:c>
      <x:c r="C14" s="42" t="str">
        <x:v>Trục 2. Tách theo điều kiện đầu vào</x:v>
      </x:c>
      <x:c r="D14" s="42" t="str">
        <x:v>Tin mơ hồ cần hỏi lại; tin rõ có thể xử lý theo yêu cầu.</x:v>
      </x:c>
      <x:c r="E14" s="39"/>
      <x:c r="F14" s="39"/>
      <x:c r="G14" s="39"/>
      <x:c r="H14" s="39"/>
    </x:row>
    <x:row r="15">
      <x:c r="A15" s="39"/>
      <x:c r="B15" s="39"/>
      <x:c r="C15" s="39"/>
      <x:c r="D15" s="39"/>
      <x:c r="E15" s="39"/>
      <x:c r="F15" s="39"/>
      <x:c r="G15" s="39"/>
      <x:c r="H15" s="39"/>
    </x:row>
    <x:row r="16">
      <x:c r="A16" s="39"/>
      <x:c r="B16" s="39"/>
      <x:c r="C16" s="39"/>
      <x:c r="D16" s="39"/>
      <x:c r="E16" s="39"/>
      <x:c r="F16" s="39"/>
      <x:c r="G16" s="39"/>
      <x:c r="H16" s="39"/>
    </x:row>
    <x:row r="17">
      <x:c r="A17" s="39"/>
      <x:c r="B17" s="39"/>
      <x:c r="C17" s="39"/>
      <x:c r="D17" s="39"/>
      <x:c r="E17" s="39"/>
      <x:c r="F17" s="39"/>
      <x:c r="G17" s="39"/>
      <x:c r="H17" s="39"/>
    </x:row>
    <x:row r="18" ht="34" customHeight="1">
      <x:c r="A18" s="41" t="str">
        <x:v>Ý định</x:v>
      </x:c>
      <x:c r="B18" s="41" t="str">
        <x:v>Số tin</x:v>
      </x:c>
      <x:c r="C18" s="41" t="str">
        <x:v>v1.3 đúng</x:v>
      </x:c>
      <x:c r="D18" s="41" t="str">
        <x:v>v1.4 đúng</x:v>
      </x:c>
      <x:c r="E18" s="39"/>
      <x:c r="F18" s="39"/>
      <x:c r="G18" s="39"/>
      <x:c r="H18" s="39"/>
    </x:row>
    <x:row r="19" ht="31" customHeight="1">
      <x:c r="A19" s="42" t="str">
        <x:v>Đổi hàng</x:v>
      </x:c>
      <x:c r="B19" s="42" t="n">
        <x:v>20</x:v>
      </x:c>
      <x:c r="C19" s="42" t="n">
        <x:v>16</x:v>
      </x:c>
      <x:c r="D19" s="42" t="n">
        <x:v>19</x:v>
      </x:c>
      <x:c r="E19" s="39"/>
      <x:c r="F19" s="39"/>
      <x:c r="G19" s="39"/>
      <x:c r="H19" s="39"/>
    </x:row>
    <x:row r="20" ht="31" customHeight="1">
      <x:c r="A20" s="42" t="str">
        <x:v>Trả hàng</x:v>
      </x:c>
      <x:c r="B20" s="42" t="n">
        <x:v>20</x:v>
      </x:c>
      <x:c r="C20" s="42" t="n">
        <x:v>15</x:v>
      </x:c>
      <x:c r="D20" s="42" t="n">
        <x:v>17</x:v>
      </x:c>
      <x:c r="E20" s="39"/>
      <x:c r="F20" s="39"/>
      <x:c r="G20" s="39"/>
      <x:c r="H20" s="39"/>
    </x:row>
    <x:row r="21" ht="31" customHeight="1">
      <x:c r="A21" s="42" t="str">
        <x:v>Tra cứu đơn</x:v>
      </x:c>
      <x:c r="B21" s="42" t="n">
        <x:v>10</x:v>
      </x:c>
      <x:c r="C21" s="42" t="n">
        <x:v>9</x:v>
      </x:c>
      <x:c r="D21" s="42" t="n">
        <x:v>6</x:v>
      </x:c>
      <x:c r="E21" s="39"/>
      <x:c r="F21" s="39"/>
      <x:c r="G21" s="39"/>
      <x:c r="H21" s="39"/>
    </x:row>
    <x:row r="22" ht="31" customHeight="1">
      <x:c r="A22" s="42" t="str">
        <x:v>Tổng</x:v>
      </x:c>
      <x:c r="B22" s="42" t="n">
        <x:f>SUM(B19:B21)</x:f>
        <x:v>50</x:v>
      </x:c>
      <x:c r="C22" s="42" t="n">
        <x:f>SUM(C19:C21)</x:f>
        <x:v>40</x:v>
      </x:c>
      <x:c r="D22" s="42" t="n">
        <x:f>SUM(D19:D21)</x:f>
        <x:v>42</x:v>
      </x:c>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row r="30">
      <x:c r="A30" s="39"/>
      <x:c r="B30" s="39"/>
      <x:c r="C30" s="39"/>
      <x:c r="D30" s="39"/>
      <x:c r="E30" s="39"/>
      <x:c r="F30" s="39"/>
      <x:c r="G30" s="39"/>
      <x:c r="H30" s="39"/>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row r="35">
      <x:c r="A35" s="39"/>
      <x:c r="B35" s="39"/>
      <x:c r="C35" s="39"/>
      <x:c r="D35" s="39"/>
      <x:c r="E35" s="39"/>
      <x:c r="F35" s="39"/>
      <x:c r="G35" s="39"/>
      <x:c r="H35" s="39"/>
    </x:row>
    <x:row r="36">
      <x:c r="A36" s="39"/>
      <x:c r="B36" s="39"/>
      <x:c r="C36" s="39"/>
      <x:c r="D36" s="39"/>
      <x:c r="E36" s="39"/>
      <x:c r="F36" s="39"/>
      <x:c r="G36" s="39"/>
      <x:c r="H36" s="39"/>
    </x:row>
    <x:row r="37">
      <x:c r="A37" s="39"/>
      <x:c r="B37" s="39"/>
      <x:c r="C37" s="39"/>
      <x:c r="D37" s="39"/>
      <x:c r="E37" s="39"/>
      <x:c r="F37" s="39"/>
      <x:c r="G37" s="39"/>
      <x:c r="H37" s="39"/>
    </x:row>
    <x:row r="38">
      <x:c r="A38" s="39"/>
      <x:c r="B38" s="39"/>
      <x:c r="C38" s="39"/>
      <x:c r="D38" s="39"/>
      <x:c r="E38" s="39"/>
      <x:c r="F38" s="39"/>
      <x:c r="G38" s="39"/>
      <x:c r="H38" s="39"/>
    </x:row>
    <x:row r="39">
      <x:c r="A39" s="39"/>
      <x:c r="B39" s="39"/>
      <x:c r="C39" s="39"/>
      <x:c r="D39" s="39"/>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x:c r="A42" s="39"/>
      <x:c r="B42" s="39"/>
      <x:c r="C42" s="39"/>
      <x:c r="D42" s="39"/>
      <x:c r="E42" s="39"/>
      <x:c r="F42" s="39"/>
      <x:c r="G42" s="39"/>
      <x:c r="H42" s="39"/>
    </x:row>
    <x:row r="43">
      <x:c r="A43" s="39"/>
      <x:c r="B43" s="39"/>
      <x:c r="C43" s="39"/>
      <x:c r="D43" s="39"/>
      <x:c r="E43" s="39"/>
      <x:c r="F43" s="39"/>
      <x:c r="G43" s="39"/>
      <x:c r="H43" s="39"/>
    </x:row>
    <x:row r="44">
      <x:c r="A44" s="39"/>
      <x:c r="B44" s="39"/>
      <x:c r="C44" s="39"/>
      <x:c r="D44" s="39"/>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Bài 2 — Đáp án và giải thích</x:v>
      </x:c>
      <x:c r="B2" s="40"/>
      <x:c r="C2" s="40"/>
      <x:c r="D2" s="40"/>
      <x:c r="E2" s="39"/>
      <x:c r="F2" s="39"/>
      <x:c r="G2" s="39"/>
      <x:c r="H2" s="39"/>
    </x:row>
    <x:row r="3">
      <x:c r="A3" s="39" t="str">
        <x:v>Lê Duy Bảo</x:v>
      </x:c>
      <x:c r="B3" s="39"/>
      <x:c r="C3" s="39"/>
      <x:c r="D3" s="39"/>
      <x:c r="E3" s="39"/>
      <x:c r="F3" s="39"/>
      <x:c r="G3" s="39"/>
      <x:c r="H3" s="39"/>
    </x:row>
    <x:row r="4">
      <x:c r="A4" s="39"/>
      <x:c r="B4" s="39"/>
      <x:c r="C4" s="39"/>
      <x:c r="D4" s="39"/>
      <x:c r="E4" s="39"/>
      <x:c r="F4" s="39"/>
      <x:c r="G4" s="39"/>
      <x:c r="H4" s="39"/>
    </x:row>
    <x:row r="5" ht="34" customHeight="1">
      <x:c r="A5" s="41" t="str">
        <x:v>Câu</x:v>
      </x:c>
      <x:c r="B5" s="41" t="str">
        <x:v>Nội dung</x:v>
      </x:c>
      <x:c r="C5" s="41" t="str">
        <x:v>Đáp án</x:v>
      </x:c>
      <x:c r="D5" s="41" t="str">
        <x:v>Giải thích</x:v>
      </x:c>
      <x:c r="E5" s="39"/>
      <x:c r="F5" s="39"/>
      <x:c r="G5" s="39"/>
      <x:c r="H5" s="39"/>
    </x:row>
    <x:row r="6" ht="31" customHeight="1">
      <x:c r="A6" s="49" t="str">
        <x:v>2.1</x:v>
      </x:c>
      <x:c r="B6" s="42" t="str">
        <x:v>Có dấu/không dấu</x:v>
      </x:c>
      <x:c r="C6" s="42" t="str">
        <x:v>Không</x:v>
      </x:c>
      <x:c r="D6" s="42" t="str">
        <x:v>Cùng nghĩa và yêu cầu thì hành vi đúng không đổi.</x:v>
      </x:c>
      <x:c r="E6" s="39"/>
      <x:c r="F6" s="39"/>
      <x:c r="G6" s="39"/>
      <x:c r="H6" s="39"/>
    </x:row>
    <x:row r="7" ht="42" customHeight="1">
      <x:c r="A7" s="49" t="str">
        <x:v>2.2</x:v>
      </x:c>
      <x:c r="B7" s="42" t="str">
        <x:v>Có mã đơn/thiếu mã đơn</x:v>
      </x:c>
      <x:c r="C7" s="42" t="str">
        <x:v>Có</x:v>
      </x:c>
      <x:c r="D7" s="42" t="str">
        <x:v>Thiếu mã phải hỏi mã hoặc số điện thoại trước khi xác định đơn.</x:v>
      </x:c>
      <x:c r="E7" s="39"/>
      <x:c r="F7" s="39"/>
      <x:c r="G7" s="39"/>
      <x:c r="H7" s="39"/>
    </x:row>
    <x:row r="8" ht="42" customHeight="1">
      <x:c r="A8" s="49" t="str">
        <x:v>2.3</x:v>
      </x:c>
      <x:c r="B8" s="42" t="str">
        <x:v>Lịch sự/cộc lốc</x:v>
      </x:c>
      <x:c r="C8" s="42" t="str">
        <x:v>Không</x:v>
      </x:c>
      <x:c r="D8" s="42" t="str">
        <x:v>Theo phép thử của bài: thay cách diễn đạt, không thay quyết định nghiệp vụ.</x:v>
      </x:c>
      <x:c r="E8" s="39"/>
      <x:c r="F8" s="39"/>
      <x:c r="G8" s="39"/>
      <x:c r="H8" s="39"/>
    </x:row>
    <x:row r="9" ht="42" customHeight="1">
      <x:c r="A9" s="49" t="str">
        <x:v>2.4</x:v>
      </x:c>
      <x:c r="B9" s="42" t="str">
        <x:v>Trong hạn/quá hạn/hàng lỗi</x:v>
      </x:c>
      <x:c r="C9" s="42" t="str">
        <x:v>Có</x:v>
      </x:c>
      <x:c r="D9" s="42" t="str">
        <x:v>Đổi/trả thông thường trong 7 ngày; hàng lỗi có quy tắc 30 ngày và chuyển nhân viên.</x:v>
      </x:c>
      <x:c r="E9" s="39"/>
      <x:c r="F9" s="39"/>
      <x:c r="G9" s="39"/>
      <x:c r="H9" s="39"/>
    </x:row>
    <x:row r="10" ht="42" customHeight="1">
      <x:c r="A10" s="49" t="str">
        <x:v>2.5</x:v>
      </x:c>
      <x:c r="B10" s="42" t="str">
        <x:v>Một ý/hai ý</x:v>
      </x:c>
      <x:c r="C10" s="42" t="str">
        <x:v>Có</x:v>
      </x:c>
      <x:c r="D10" s="42" t="str">
        <x:v>Hai đơn với hai yêu cầu cần tách, xử lý và đối chiếu từng đơn.</x:v>
      </x:c>
      <x:c r="E10" s="39"/>
      <x:c r="F10" s="39"/>
      <x:c r="G10" s="39"/>
      <x:c r="H10" s="39"/>
    </x:row>
    <x:row r="11" ht="31" customHeight="1">
      <x:c r="A11" s="49" t="str">
        <x:v>2.6</x:v>
      </x:c>
      <x:c r="B11" s="42" t="str">
        <x:v>Dài/ngắn, cùng nội dung</x:v>
      </x:c>
      <x:c r="C11" s="42" t="str">
        <x:v>Không</x:v>
      </x:c>
      <x:c r="D11" s="42" t="str">
        <x:v>Độ dài không tự làm thay đổi hành vi đúng.</x:v>
      </x:c>
      <x:c r="E11" s="39"/>
      <x:c r="F11" s="39"/>
      <x:c r="G11" s="39"/>
      <x:c r="H11" s="39"/>
    </x:row>
    <x:row r="12" ht="31" customHeight="1">
      <x:c r="A12" s="49" t="str">
        <x:v>2.7</x:v>
      </x:c>
      <x:c r="B12" s="42" t="str">
        <x:v>4 × 3 × 3</x:v>
      </x:c>
      <x:c r="C12" s="42" t="n">
        <x:f>4*3*3</x:f>
        <x:v>36</x:v>
      </x:c>
      <x:c r="D12" s="42" t="str">
        <x:v>Tích số giá trị của 3 chiều.</x:v>
      </x:c>
      <x:c r="E12" s="39"/>
      <x:c r="F12" s="39"/>
      <x:c r="G12" s="39"/>
      <x:c r="H12" s="39"/>
    </x:row>
    <x:row r="13" ht="31" customHeight="1">
      <x:c r="A13" s="49" t="str">
        <x:v>2.8</x:v>
      </x:c>
      <x:c r="B13" s="42" t="str">
        <x:v>Loại 12 tổ hợp</x:v>
      </x:c>
      <x:c r="C13" s="42" t="n">
        <x:f>C12-12</x:f>
        <x:v>24</x:v>
      </x:c>
      <x:c r="D13" s="42" t="str">
        <x:v>36 − 12 = 24.</x:v>
      </x:c>
      <x:c r="E13" s="39"/>
      <x:c r="F13" s="39"/>
      <x:c r="G13" s="39"/>
      <x:c r="H13" s="39"/>
    </x:row>
    <x:row r="14" ht="31" customHeight="1">
      <x:c r="A14" s="49" t="str">
        <x:v>2.9</x:v>
      </x:c>
      <x:c r="B14" s="42" t="str">
        <x:v>16 tình huống × 3 diễn đạt</x:v>
      </x:c>
      <x:c r="C14" s="42" t="n">
        <x:f>16*3</x:f>
        <x:v>48</x:v>
      </x:c>
      <x:c r="D14" s="42" t="str">
        <x:v>Đếm đầu vào, không phải số hành vi nghiệp vụ khác nhau.</x:v>
      </x:c>
      <x:c r="E14" s="39"/>
      <x:c r="F14" s="39"/>
      <x:c r="G14" s="39"/>
      <x:c r="H14" s="39"/>
    </x:row>
    <x:row r="15" ht="31" customHeight="1">
      <x:c r="A15" s="49" t="str">
        <x:v>2.10</x:v>
      </x:c>
      <x:c r="B15" s="42" t="str">
        <x:v>MS-1043, đổi size hôm sau</x:v>
      </x:c>
      <x:c r="C15" s="42" t="str">
        <x:v>Đại diện</x:v>
      </x:c>
      <x:c r="D15" s="42" t="str">
        <x:v>Yêu cầu rõ, có mã, trường hợp thường gặp.</x:v>
      </x:c>
      <x:c r="E15" s="39"/>
      <x:c r="F15" s="39"/>
      <x:c r="G15" s="39"/>
      <x:c r="H15" s="39"/>
    </x:row>
    <x:row r="16" ht="31" customHeight="1">
      <x:c r="A16" s="49" t="str">
        <x:v>2.11</x:v>
      </x:c>
      <x:c r="B16" s="42" t="str">
        <x:v>Đơn hôm bữa, không lấy nữa</x:v>
      </x:c>
      <x:c r="C16" s="42" t="str">
        <x:v>Thử thách</x:v>
      </x:c>
      <x:c r="D16" s="42" t="str">
        <x:v>Mơ hồ cả đơn và nhu cầu hủy hay trả.</x:v>
      </x:c>
      <x:c r="E16" s="39"/>
      <x:c r="F16" s="39"/>
      <x:c r="G16" s="39"/>
      <x:c r="H16" s="39"/>
    </x:row>
    <x:row r="17" ht="31" customHeight="1">
      <x:c r="A17" s="49" t="str">
        <x:v>2.12</x:v>
      </x:c>
      <x:c r="B17" s="42" t="str">
        <x:v>Hai đơn, một trả một đổi</x:v>
      </x:c>
      <x:c r="C17" s="42" t="str">
        <x:v>Thử thách</x:v>
      </x:c>
      <x:c r="D17" s="42" t="str">
        <x:v>Nhiều ý định gắn với nhiều mã đơn.</x:v>
      </x:c>
      <x:c r="E17" s="39"/>
      <x:c r="F17" s="39"/>
      <x:c r="G17" s="39"/>
      <x:c r="H17" s="39"/>
    </x:row>
    <x:row r="18" ht="31" customHeight="1">
      <x:c r="A18" s="49" t="str">
        <x:v>2.13</x:v>
      </x:c>
      <x:c r="B18" s="42" t="str">
        <x:v>MS-0871, 20 ngày, từng hứa sai</x:v>
      </x:c>
      <x:c r="C18" s="42" t="str">
        <x:v>Hồi quy nghiêm trọng</x:v>
      </x:c>
      <x:c r="D18" s="42" t="str">
        <x:v>Giữ lại lỗi hứa hoàn tiền đã xuất hiện theo dữ kiện đề.</x:v>
      </x:c>
      <x:c r="E18" s="39"/>
      <x:c r="F18" s="39"/>
      <x:c r="G18" s="39"/>
      <x:c r="H18" s="39"/>
    </x:row>
    <x:row r="19" ht="31" customHeight="1">
      <x:c r="A19" s="49" t="str">
        <x:v>2.14</x:v>
      </x:c>
      <x:c r="B19" s="42" t="str">
        <x:v>AI tạo ca kiểm thử</x:v>
      </x:c>
      <x:c r="C19" s="42" t="str">
        <x:v>B</x:v>
      </x:c>
      <x:c r="D19" s="42" t="str">
        <x:v>Người chọn ô cần thử; AI viết các cách diễn đạt cho từng ô.</x:v>
      </x:c>
      <x:c r="E19" s="39"/>
      <x:c r="F19" s="39"/>
      <x:c r="G19" s="39"/>
      <x:c r="H19" s="39"/>
    </x:row>
    <x:row r="20">
      <x:c r="A20" s="39"/>
      <x:c r="B20" s="39"/>
      <x:c r="C20" s="39"/>
      <x:c r="D20" s="39"/>
      <x:c r="E20" s="39"/>
      <x:c r="F20" s="39"/>
      <x:c r="G20" s="39"/>
      <x:c r="H20" s="39"/>
    </x:row>
    <x:row r="21">
      <x:c r="A21" s="39"/>
      <x:c r="B21" s="39"/>
      <x:c r="C21" s="39"/>
      <x:c r="D21" s="39"/>
      <x:c r="E21" s="39"/>
      <x:c r="F21" s="39"/>
      <x:c r="G21" s="39"/>
      <x:c r="H21" s="39"/>
    </x:row>
    <x:row r="22">
      <x:c r="A22" s="39"/>
      <x:c r="B22" s="39"/>
      <x:c r="C22" s="39"/>
      <x:c r="D22" s="39"/>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row r="30">
      <x:c r="A30" s="39"/>
      <x:c r="B30" s="39"/>
      <x:c r="C30" s="39"/>
      <x:c r="D30" s="39"/>
      <x:c r="E30" s="39"/>
      <x:c r="F30" s="39"/>
      <x:c r="G30" s="39"/>
      <x:c r="H30" s="39"/>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row r="35">
      <x:c r="A35" s="39"/>
      <x:c r="B35" s="39"/>
      <x:c r="C35" s="39"/>
      <x:c r="D35" s="39"/>
      <x:c r="E35" s="39"/>
      <x:c r="F35" s="39"/>
      <x:c r="G35" s="39"/>
      <x:c r="H35" s="39"/>
    </x:row>
    <x:row r="36">
      <x:c r="A36" s="39"/>
      <x:c r="B36" s="39"/>
      <x:c r="C36" s="39"/>
      <x:c r="D36" s="39"/>
      <x:c r="E36" s="39"/>
      <x:c r="F36" s="39"/>
      <x:c r="G36" s="39"/>
      <x:c r="H36" s="39"/>
    </x:row>
    <x:row r="37">
      <x:c r="A37" s="39"/>
      <x:c r="B37" s="39"/>
      <x:c r="C37" s="39"/>
      <x:c r="D37" s="39"/>
      <x:c r="E37" s="39"/>
      <x:c r="F37" s="39"/>
      <x:c r="G37" s="39"/>
      <x:c r="H37" s="39"/>
    </x:row>
    <x:row r="38">
      <x:c r="A38" s="39"/>
      <x:c r="B38" s="39"/>
      <x:c r="C38" s="39"/>
      <x:c r="D38" s="39"/>
      <x:c r="E38" s="39"/>
      <x:c r="F38" s="39"/>
      <x:c r="G38" s="39"/>
      <x:c r="H38" s="39"/>
    </x:row>
    <x:row r="39">
      <x:c r="A39" s="39"/>
      <x:c r="B39" s="39"/>
      <x:c r="C39" s="39"/>
      <x:c r="D39" s="39"/>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x:c r="A42" s="39"/>
      <x:c r="B42" s="39"/>
      <x:c r="C42" s="39"/>
      <x:c r="D42" s="39"/>
      <x:c r="E42" s="39"/>
      <x:c r="F42" s="39"/>
      <x:c r="G42" s="39"/>
      <x:c r="H42" s="39"/>
    </x:row>
    <x:row r="43">
      <x:c r="A43" s="39"/>
      <x:c r="B43" s="39"/>
      <x:c r="C43" s="39"/>
      <x:c r="D43" s="39"/>
      <x:c r="E43" s="39"/>
      <x:c r="F43" s="39"/>
      <x:c r="G43" s="39"/>
      <x:c r="H43" s="39"/>
    </x:row>
    <x:row r="44">
      <x:c r="A44" s="39"/>
      <x:c r="B44" s="39"/>
      <x:c r="C44" s="39"/>
      <x:c r="D44" s="39"/>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Bài 3 — Đáp án và giải thích</x:v>
      </x:c>
      <x:c r="B2" s="40"/>
      <x:c r="C2" s="40"/>
      <x:c r="D2" s="40"/>
      <x:c r="E2" s="39"/>
      <x:c r="F2" s="39"/>
      <x:c r="G2" s="39"/>
      <x:c r="H2" s="39"/>
    </x:row>
    <x:row r="3">
      <x:c r="A3" s="39" t="str">
        <x:v>Lê Duy Bảo</x:v>
      </x:c>
      <x:c r="B3" s="39"/>
      <x:c r="C3" s="39"/>
      <x:c r="D3" s="39"/>
      <x:c r="E3" s="39"/>
      <x:c r="F3" s="39"/>
      <x:c r="G3" s="39"/>
      <x:c r="H3" s="39"/>
    </x:row>
    <x:row r="4">
      <x:c r="A4" s="39"/>
      <x:c r="B4" s="39"/>
      <x:c r="C4" s="39"/>
      <x:c r="D4" s="39"/>
      <x:c r="E4" s="39"/>
      <x:c r="F4" s="39"/>
      <x:c r="G4" s="39"/>
      <x:c r="H4" s="39"/>
    </x:row>
    <x:row r="5" ht="34" customHeight="1">
      <x:c r="A5" s="41" t="str">
        <x:v>Câu</x:v>
      </x:c>
      <x:c r="B5" s="41" t="str">
        <x:v>Nội dung</x:v>
      </x:c>
      <x:c r="C5" s="41" t="str">
        <x:v>Đáp án</x:v>
      </x:c>
      <x:c r="D5" s="41" t="str">
        <x:v>Giải thích</x:v>
      </x:c>
      <x:c r="E5" s="39"/>
      <x:c r="F5" s="39"/>
      <x:c r="G5" s="39"/>
      <x:c r="H5" s="39"/>
    </x:row>
    <x:row r="6" ht="31" customHeight="1">
      <x:c r="A6" s="49" t="str">
        <x:v>3.1</x:v>
      </x:c>
      <x:c r="B6" s="42" t="str">
        <x:v>T1: bước sai đầu tiên</x:v>
      </x:c>
      <x:c r="C6" s="42" t="n">
        <x:v>2</x:v>
      </x:c>
      <x:c r="D6" s="42" t="str">
        <x:v>Khách muốn đổi size nhưng gắn nhãn Tra cứu đơn.</x:v>
      </x:c>
      <x:c r="E6" s="39"/>
      <x:c r="F6" s="39"/>
      <x:c r="G6" s="39"/>
      <x:c r="H6" s="39"/>
    </x:row>
    <x:row r="7" ht="42" customHeight="1">
      <x:c r="A7" s="49" t="str">
        <x:v>3.2</x:v>
      </x:c>
      <x:c r="B7" s="42" t="str">
        <x:v>T1: mã lỗi</x:v>
      </x:c>
      <x:c r="C7" s="42" t="str">
        <x:v>wrong_intent</x:v>
      </x:c>
      <x:c r="D7" s="42" t="str">
        <x:v>Tra cứu sau đó có thể đúng kỹ thuật nhưng phục vụ sai mục tiêu.</x:v>
      </x:c>
      <x:c r="E7" s="39"/>
      <x:c r="F7" s="39"/>
      <x:c r="G7" s="39"/>
      <x:c r="H7" s="39"/>
    </x:row>
    <x:row r="8" ht="42" customHeight="1">
      <x:c r="A8" s="49" t="str">
        <x:v>3.3</x:v>
      </x:c>
      <x:c r="B8" s="42" t="str">
        <x:v>T2: bước sai đầu tiên</x:v>
      </x:c>
      <x:c r="C8" s="42" t="n">
        <x:v>3</x:v>
      </x:c>
      <x:c r="D8" s="42" t="str">
        <x:v>Không xác định và tra cứu đơn; lời hứa hoàn tiền ở bước 4 là hệ quả.</x:v>
      </x:c>
      <x:c r="E8" s="39"/>
      <x:c r="F8" s="39"/>
      <x:c r="G8" s="39"/>
      <x:c r="H8" s="39"/>
    </x:row>
    <x:row r="9" ht="42" customHeight="1">
      <x:c r="A9" s="49" t="str">
        <x:v>3.4</x:v>
      </x:c>
      <x:c r="B9" s="42" t="str">
        <x:v>T2: mã lỗi</x:v>
      </x:c>
      <x:c r="C9" s="42" t="str">
        <x:v>missing_lookup</x:v>
      </x:c>
      <x:c r="D9" s="42" t="str">
        <x:v>Cần hỏi mã/SĐT rồi tra cứu. Theo cách thiết kế vết T2 của bài, lỗi gốc là bỏ tra cứu.</x:v>
      </x:c>
      <x:c r="E9" s="39"/>
      <x:c r="F9" s="39"/>
      <x:c r="G9" s="39"/>
      <x:c r="H9" s="39"/>
    </x:row>
    <x:row r="10" ht="42" customHeight="1">
      <x:c r="A10" s="49" t="str">
        <x:v>3.5</x:v>
      </x:c>
      <x:c r="B10" s="42" t="str">
        <x:v>T3: bước sai đầu tiên</x:v>
      </x:c>
      <x:c r="C10" s="42" t="n">
        <x:v>4</x:v>
      </x:c>
      <x:c r="D10" s="42" t="str">
        <x:v>Có hàng lỗi trong 30 ngày và yêu cầu gặp người, nhưng lại từ chối và không chuyển.</x:v>
      </x:c>
      <x:c r="E10" s="39"/>
      <x:c r="F10" s="39"/>
      <x:c r="G10" s="39"/>
      <x:c r="H10" s="39"/>
    </x:row>
    <x:row r="11" ht="31" customHeight="1">
      <x:c r="A11" s="49" t="str">
        <x:v>3.6</x:v>
      </x:c>
      <x:c r="B11" s="42" t="str">
        <x:v>T3: mã lỗi</x:v>
      </x:c>
      <x:c r="C11" s="42" t="str">
        <x:v>missing_escalation</x:v>
      </x:c>
      <x:c r="D11" s="42" t="str">
        <x:v>CS-3 và CS-6 yêu cầu chuyển nhân viên.</x:v>
      </x:c>
      <x:c r="E11" s="39"/>
      <x:c r="F11" s="39"/>
      <x:c r="G11" s="39"/>
      <x:c r="H11" s="39"/>
    </x:row>
    <x:row r="12" ht="42" customHeight="1">
      <x:c r="A12" s="49" t="str">
        <x:v>3.7</x:v>
      </x:c>
      <x:c r="B12" s="42" t="str">
        <x:v>T4: bước sai đầu tiên</x:v>
      </x:c>
      <x:c r="C12" s="42" t="n">
        <x:v>4</x:v>
      </x:c>
      <x:c r="D12" s="42" t="str">
        <x:v>Chỉ nói còn hạn, kết thúc mà không hướng dẫn hoặc thực hiện bước tiếp theo.</x:v>
      </x:c>
      <x:c r="E12" s="39"/>
      <x:c r="F12" s="39"/>
      <x:c r="G12" s="39"/>
      <x:c r="H12" s="39"/>
    </x:row>
    <x:row r="13" ht="42" customHeight="1">
      <x:c r="A13" s="49" t="str">
        <x:v>3.8</x:v>
      </x:c>
      <x:c r="B13" s="42" t="str">
        <x:v>T4: mã lỗi</x:v>
      </x:c>
      <x:c r="C13" s="42" t="str">
        <x:v>no_next_step</x:v>
      </x:c>
      <x:c r="D13" s="42" t="str">
        <x:v>Cần xác nhận tem mác/size muốn đổi và hướng dẫn hoặc tạo yêu cầu khi đủ điều kiện.</x:v>
      </x:c>
      <x:c r="E13" s="39"/>
      <x:c r="F13" s="39"/>
      <x:c r="G13" s="39"/>
      <x:c r="H13" s="39"/>
    </x:row>
    <x:row r="14" ht="42" customHeight="1">
      <x:c r="A14" s="49" t="str">
        <x:v>3.9</x:v>
      </x:c>
      <x:c r="B14" s="42" t="str">
        <x:v>Vì sao đọc lời nói chưa thấy lỗi?</x:v>
      </x:c>
      <x:c r="C14" s="42" t="str">
        <x:v>A</x:v>
      </x:c>
      <x:c r="D14" s="42" t="str">
        <x:v>Lời trả lời nghe chắc chắn; vết thực thi mới cho thấy không có bước tra cứu.</x:v>
      </x:c>
      <x:c r="E14" s="39"/>
      <x:c r="F14" s="39"/>
      <x:c r="G14" s="39"/>
      <x:c r="H14" s="39"/>
    </x:row>
    <x:row r="15">
      <x:c r="A15" s="39"/>
      <x:c r="B15" s="39"/>
      <x:c r="C15" s="39"/>
      <x:c r="D15" s="39"/>
      <x:c r="E15" s="39"/>
      <x:c r="F15" s="39"/>
      <x:c r="G15" s="39"/>
      <x:c r="H15" s="39"/>
    </x:row>
    <x:row r="16">
      <x:c r="A16" s="39"/>
      <x:c r="B16" s="39"/>
      <x:c r="C16" s="39"/>
      <x:c r="D16" s="39"/>
      <x:c r="E16" s="39"/>
      <x:c r="F16" s="39"/>
      <x:c r="G16" s="39"/>
      <x:c r="H16" s="39"/>
    </x:row>
    <x:row r="17">
      <x:c r="A17" s="39"/>
      <x:c r="B17" s="39"/>
      <x:c r="C17" s="39"/>
      <x:c r="D17" s="39"/>
      <x:c r="E17" s="39"/>
      <x:c r="F17" s="39"/>
      <x:c r="G17" s="39"/>
      <x:c r="H17" s="39"/>
    </x:row>
    <x:row r="18">
      <x:c r="A18" s="39"/>
      <x:c r="B18" s="39"/>
      <x:c r="C18" s="39"/>
      <x:c r="D18" s="39"/>
      <x:c r="E18" s="39"/>
      <x:c r="F18" s="39"/>
      <x:c r="G18" s="39"/>
      <x:c r="H18" s="39"/>
    </x:row>
    <x:row r="19">
      <x:c r="A19" s="39"/>
      <x:c r="B19" s="39"/>
      <x:c r="C19" s="39"/>
      <x:c r="D19" s="39"/>
      <x:c r="E19" s="39"/>
      <x:c r="F19" s="39"/>
      <x:c r="G19" s="39"/>
      <x:c r="H19" s="39"/>
    </x:row>
    <x:row r="20">
      <x:c r="A20" s="39"/>
      <x:c r="B20" s="39"/>
      <x:c r="C20" s="39"/>
      <x:c r="D20" s="39"/>
      <x:c r="E20" s="39"/>
      <x:c r="F20" s="39"/>
      <x:c r="G20" s="39"/>
      <x:c r="H20" s="39"/>
    </x:row>
    <x:row r="21">
      <x:c r="A21" s="39"/>
      <x:c r="B21" s="39"/>
      <x:c r="C21" s="39"/>
      <x:c r="D21" s="39"/>
      <x:c r="E21" s="39"/>
      <x:c r="F21" s="39"/>
      <x:c r="G21" s="39"/>
      <x:c r="H21" s="39"/>
    </x:row>
    <x:row r="22">
      <x:c r="A22" s="39"/>
      <x:c r="B22" s="39"/>
      <x:c r="C22" s="39"/>
      <x:c r="D22" s="39"/>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row r="30">
      <x:c r="A30" s="39"/>
      <x:c r="B30" s="39"/>
      <x:c r="C30" s="39"/>
      <x:c r="D30" s="39"/>
      <x:c r="E30" s="39"/>
      <x:c r="F30" s="39"/>
      <x:c r="G30" s="39"/>
      <x:c r="H30" s="39"/>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row r="35">
      <x:c r="A35" s="39"/>
      <x:c r="B35" s="39"/>
      <x:c r="C35" s="39"/>
      <x:c r="D35" s="39"/>
      <x:c r="E35" s="39"/>
      <x:c r="F35" s="39"/>
      <x:c r="G35" s="39"/>
      <x:c r="H35" s="39"/>
    </x:row>
    <x:row r="36">
      <x:c r="A36" s="39"/>
      <x:c r="B36" s="39"/>
      <x:c r="C36" s="39"/>
      <x:c r="D36" s="39"/>
      <x:c r="E36" s="39"/>
      <x:c r="F36" s="39"/>
      <x:c r="G36" s="39"/>
      <x:c r="H36" s="39"/>
    </x:row>
    <x:row r="37">
      <x:c r="A37" s="39"/>
      <x:c r="B37" s="39"/>
      <x:c r="C37" s="39"/>
      <x:c r="D37" s="39"/>
      <x:c r="E37" s="39"/>
      <x:c r="F37" s="39"/>
      <x:c r="G37" s="39"/>
      <x:c r="H37" s="39"/>
    </x:row>
    <x:row r="38">
      <x:c r="A38" s="39"/>
      <x:c r="B38" s="39"/>
      <x:c r="C38" s="39"/>
      <x:c r="D38" s="39"/>
      <x:c r="E38" s="39"/>
      <x:c r="F38" s="39"/>
      <x:c r="G38" s="39"/>
      <x:c r="H38" s="39"/>
    </x:row>
    <x:row r="39">
      <x:c r="A39" s="39"/>
      <x:c r="B39" s="39"/>
      <x:c r="C39" s="39"/>
      <x:c r="D39" s="39"/>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x:c r="A42" s="39"/>
      <x:c r="B42" s="39"/>
      <x:c r="C42" s="39"/>
      <x:c r="D42" s="39"/>
      <x:c r="E42" s="39"/>
      <x:c r="F42" s="39"/>
      <x:c r="G42" s="39"/>
      <x:c r="H42" s="39"/>
    </x:row>
    <x:row r="43">
      <x:c r="A43" s="39"/>
      <x:c r="B43" s="39"/>
      <x:c r="C43" s="39"/>
      <x:c r="D43" s="39"/>
      <x:c r="E43" s="39"/>
      <x:c r="F43" s="39"/>
      <x:c r="G43" s="39"/>
      <x:c r="H43" s="39"/>
    </x:row>
    <x:row r="44">
      <x:c r="A44" s="39"/>
      <x:c r="B44" s="39"/>
      <x:c r="C44" s="39"/>
      <x:c r="D44" s="39"/>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5.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Bài 4 — Đáp án và giải thích</x:v>
      </x:c>
      <x:c r="B2" s="40"/>
      <x:c r="C2" s="40"/>
      <x:c r="D2" s="40"/>
      <x:c r="E2" s="39"/>
      <x:c r="F2" s="39"/>
      <x:c r="G2" s="39"/>
      <x:c r="H2" s="39"/>
    </x:row>
    <x:row r="3">
      <x:c r="A3" s="39" t="str">
        <x:v>Lê Duy Bảo</x:v>
      </x:c>
      <x:c r="B3" s="39"/>
      <x:c r="C3" s="39"/>
      <x:c r="D3" s="39"/>
      <x:c r="E3" s="39"/>
      <x:c r="F3" s="39"/>
      <x:c r="G3" s="39"/>
      <x:c r="H3" s="39"/>
    </x:row>
    <x:row r="4">
      <x:c r="A4" s="39"/>
      <x:c r="B4" s="39"/>
      <x:c r="C4" s="39"/>
      <x:c r="D4" s="39"/>
      <x:c r="E4" s="39"/>
      <x:c r="F4" s="39"/>
      <x:c r="G4" s="39"/>
      <x:c r="H4" s="39"/>
    </x:row>
    <x:row r="5" ht="34" customHeight="1">
      <x:c r="A5" s="41" t="str">
        <x:v>Câu</x:v>
      </x:c>
      <x:c r="B5" s="41" t="str">
        <x:v>Nội dung</x:v>
      </x:c>
      <x:c r="C5" s="41" t="str">
        <x:v>Đáp án</x:v>
      </x:c>
      <x:c r="D5" s="41" t="str">
        <x:v>Giải thích</x:v>
      </x:c>
      <x:c r="E5" s="39"/>
      <x:c r="F5" s="39"/>
      <x:c r="G5" s="39"/>
      <x:c r="H5" s="39"/>
    </x:row>
    <x:row r="6" ht="42" customHeight="1">
      <x:c r="A6" s="49" t="str">
        <x:v>4.1</x:v>
      </x:c>
      <x:c r="B6" s="42" t="str">
        <x:v>Không báo phí, prompt chưa quy định</x:v>
      </x:c>
      <x:c r="C6" s="42" t="str">
        <x:v>Thiếu đặc tả → sửa câu lệnh</x:v>
      </x:c>
      <x:c r="D6" s="42" t="str">
        <x:v>Bổ sung quy định phí được chủ chính sách xác nhận. Không tự suy diễn mức phí.</x:v>
      </x:c>
      <x:c r="E6" s="39"/>
      <x:c r="F6" s="39"/>
      <x:c r="G6" s="39"/>
      <x:c r="H6" s="39"/>
    </x:row>
    <x:row r="7" ht="42" customHeight="1">
      <x:c r="A7" s="49" t="str">
        <x:v>4.2</x:v>
      </x:c>
      <x:c r="B7" s="42" t="str">
        <x:v>Chưa có công cụ tồn kho</x:v>
      </x:c>
      <x:c r="C7" s="42" t="str">
        <x:v>Thiếu năng lực hệ thống → sửa kỹ thuật</x:v>
      </x:c>
      <x:c r="D7" s="42" t="str">
        <x:v>Cần bổ sung nguồn dữ liệu/công cụ; sửa câu lệnh không tạo ra dữ liệu tồn kho.</x:v>
      </x:c>
      <x:c r="E7" s="39"/>
      <x:c r="F7" s="39"/>
      <x:c r="G7" s="39"/>
      <x:c r="H7" s="39"/>
    </x:row>
    <x:row r="8" ht="42" customHeight="1">
      <x:c r="A8" s="49" t="str">
        <x:v>4.3</x:v>
      </x:c>
      <x:c r="B8" s="42" t="str">
        <x:v>Đã dặn hỏi mã, lúc hỏi lúc không</x:v>
      </x:c>
      <x:c r="C8" s="42" t="str">
        <x:v>Lúc được lúc không → viết bài đánh giá tự động</x:v>
      </x:c>
      <x:c r="D8" s="42" t="str">
        <x:v>Dùng bộ ca thiếu mã kiểm tra tính nhất quán qua các lần sửa.</x:v>
      </x:c>
      <x:c r="E8" s="39"/>
      <x:c r="F8" s="39"/>
      <x:c r="G8" s="39"/>
      <x:c r="H8" s="39"/>
    </x:row>
    <x:row r="9" ht="31" customHeight="1">
      <x:c r="A9" s="49" t="str">
        <x:v>4.4</x:v>
      </x:c>
      <x:c r="B9" s="42" t="str">
        <x:v>Đúng 1 nhãn cho phép</x:v>
      </x:c>
      <x:c r="C9" s="42" t="str">
        <x:v>Mã lệnh</x:v>
      </x:c>
      <x:c r="D9" s="42" t="str">
        <x:v>Đếm nhãn thuộc tập cho phép.</x:v>
      </x:c>
      <x:c r="E9" s="39"/>
      <x:c r="F9" s="39"/>
      <x:c r="G9" s="39"/>
      <x:c r="H9" s="39"/>
    </x:row>
    <x:row r="10" ht="31" customHeight="1">
      <x:c r="A10" s="49" t="str">
        <x:v>4.5</x:v>
      </x:c>
      <x:c r="B10" s="42" t="str">
        <x:v>Mã trả lời khớp mã khách</x:v>
      </x:c>
      <x:c r="C10" s="42" t="str">
        <x:v>Mã lệnh</x:v>
      </x:c>
      <x:c r="D10" s="42" t="str">
        <x:v>So sánh mã đã trích xuất với mã đầu vào.</x:v>
      </x:c>
      <x:c r="E10" s="39"/>
      <x:c r="F10" s="39"/>
      <x:c r="G10" s="39"/>
      <x:c r="H10" s="39"/>
    </x:row>
    <x:row r="11" ht="31" customHeight="1">
      <x:c r="A11" s="49" t="str">
        <x:v>4.6</x:v>
      </x:c>
      <x:c r="B11" s="42" t="str">
        <x:v>Tra cứu trước khi xác nhận</x:v>
      </x:c>
      <x:c r="C11" s="42" t="str">
        <x:v>Mã lệnh</x:v>
      </x:c>
      <x:c r="D11" s="42" t="str">
        <x:v>Kiểm tra thứ tự sự kiện trong trace.</x:v>
      </x:c>
      <x:c r="E11" s="39"/>
      <x:c r="F11" s="39"/>
      <x:c r="G11" s="39"/>
      <x:c r="H11" s="39"/>
    </x:row>
    <x:row r="12" ht="31" customHeight="1">
      <x:c r="A12" s="49" t="str">
        <x:v>4.7</x:v>
      </x:c>
      <x:c r="B12" s="42" t="str">
        <x:v>Latency dưới 2 giây</x:v>
      </x:c>
      <x:c r="C12" s="42" t="str">
        <x:v>Mã lệnh</x:v>
      </x:c>
      <x:c r="D12" s="42" t="str">
        <x:v>So timestamp/thời lượng đo được với ngưỡng.</x:v>
      </x:c>
      <x:c r="E12" s="39"/>
      <x:c r="F12" s="39"/>
      <x:c r="G12" s="39"/>
      <x:c r="H12" s="39"/>
    </x:row>
    <x:row r="13" ht="42" customHeight="1">
      <x:c r="A13" s="49" t="str">
        <x:v>4.8</x:v>
      </x:c>
      <x:c r="B13" s="42" t="str">
        <x:v>Ghi nhận cảm xúc trước xử lý</x:v>
      </x:c>
      <x:c r="C13" s="42" t="str">
        <x:v>Giám khảo AI</x:v>
      </x:c>
      <x:c r="D13" s="42" t="str">
        <x:v>Cần hiểu ý nghĩa; giám khảo phải được hiệu chỉnh bằng nhãn chuyên gia.</x:v>
      </x:c>
      <x:c r="E13" s="39"/>
      <x:c r="F13" s="39"/>
      <x:c r="G13" s="39"/>
      <x:c r="H13" s="39"/>
    </x:row>
    <x:row r="14" ht="31" customHeight="1">
      <x:c r="A14" s="49" t="str">
        <x:v>4.9</x:v>
      </x:c>
      <x:c r="B14" s="42" t="str">
        <x:v>Mức đền bù hợp lý theo khách</x:v>
      </x:c>
      <x:c r="C14" s="42" t="str">
        <x:v>Người quyết</x:v>
      </x:c>
      <x:c r="D14" s="42" t="str">
        <x:v>Quyết định có bối cảnh, thẩm quyền và tác động kinh doanh.</x:v>
      </x:c>
      <x:c r="E14" s="39"/>
      <x:c r="F14" s="39"/>
      <x:c r="G14" s="39"/>
      <x:c r="H14" s="39"/>
    </x:row>
    <x:row r="15" ht="31" customHeight="1">
      <x:c r="A15" s="49" t="str">
        <x:v>4.10</x:v>
      </x:c>
      <x:c r="B15" s="42" t="str">
        <x:v>Ý định: Đổi hàng</x:v>
      </x:c>
      <x:c r="C15" s="42" t="str">
        <x:v>Đạt · đúng 1 nhãn</x:v>
      </x:c>
      <x:c r="D15" s="42" t="str">
        <x:v>Có đúng một nhãn hợp lệ, khớp đúng chữ.</x:v>
      </x:c>
      <x:c r="E15" s="39"/>
      <x:c r="F15" s="39"/>
      <x:c r="G15" s="39"/>
      <x:c r="H15" s="39"/>
    </x:row>
    <x:row r="16" ht="42" customHeight="1">
      <x:c r="A16" s="49" t="str">
        <x:v>4.11</x:v>
      </x:c>
      <x:c r="B16" s="42" t="str">
        <x:v>Ý định: đổi size</x:v>
      </x:c>
      <x:c r="C16" s="42" t="str">
        <x:v>Không đạt · không có nhãn hợp lệ</x:v>
      </x:c>
      <x:c r="D16" s="42" t="str">
        <x:v>Đúng nghĩa gần nhau không đồng nghĩa đúng định dạng mà mã kiểm tra yêu cầu.</x:v>
      </x:c>
      <x:c r="E16" s="39"/>
      <x:c r="F16" s="39"/>
      <x:c r="G16" s="39"/>
      <x:c r="H16" s="39"/>
    </x:row>
    <x:row r="17" ht="31" customHeight="1">
      <x:c r="A17" s="49" t="str">
        <x:v>4.12</x:v>
      </x:c>
      <x:c r="B17" s="42" t="str">
        <x:v>Đổi hàng; Trả hàng</x:v>
      </x:c>
      <x:c r="C17" s="42" t="str">
        <x:v>Không đạt · nhiều hơn 1 nhãn</x:v>
      </x:c>
      <x:c r="D17" s="42" t="str">
        <x:v>Có hai nhãn hợp lệ.</x:v>
      </x:c>
      <x:c r="E17" s="39"/>
      <x:c r="F17" s="39"/>
      <x:c r="G17" s="39"/>
      <x:c r="H17" s="39"/>
    </x:row>
    <x:row r="18" ht="42" customHeight="1">
      <x:c r="A18" s="49" t="str">
        <x:v>4.13</x:v>
      </x:c>
      <x:c r="B18" s="42" t="str">
        <x:v>Tỷ lệ đạt 0% toàn bộ 50 tin</x:v>
      </x:c>
      <x:c r="C18" s="42" t="str">
        <x:v>B</x:v>
      </x:c>
      <x:c r="D18" s="42" t="str">
        <x:v>Kiểm tra bộ chấm, mẫu so khớp và tên trường trước khi kết luận model hỏng.</x:v>
      </x:c>
      <x:c r="E18" s="39"/>
      <x:c r="F18" s="39"/>
      <x:c r="G18" s="39"/>
      <x:c r="H18" s="39"/>
    </x:row>
    <x:row r="19" ht="42" customHeight="1">
      <x:c r="A19" s="49" t="str">
        <x:v>4.14</x:v>
      </x:c>
      <x:c r="B19" s="42" t="str">
        <x:v>Quyết định v1.4</x:v>
      </x:c>
      <x:c r="C19" s="42" t="str">
        <x:v>Lặp tiếp</x:v>
      </x:c>
      <x:c r="D19" s="42" t="str">
        <x:v>Cảm xúc giảm từ 84% xuống 76%, tức 8 điểm, vượt giới hạn 2 điểm.</x:v>
      </x:c>
      <x:c r="E19" s="39"/>
      <x:c r="F19" s="39"/>
      <x:c r="G19" s="39"/>
      <x:c r="H19" s="39"/>
    </x:row>
    <x:row r="20" ht="42" customHeight="1">
      <x:c r="A20" s="49" t="str">
        <x:v>4.15</x:v>
      </x:c>
      <x:c r="B20" s="42" t="str">
        <x:v>Đòn cần làm trước</x:v>
      </x:c>
      <x:c r="C20" s="42" t="str">
        <x:v>Sửa câu lệnh</x:v>
      </x:c>
      <x:c r="D20" s="42" t="str">
        <x:v>Bổ sung yêu cầu ghi nhận cảm xúc và ví dụ sát ranh, chạy lại toàn bộ bộ đề.</x:v>
      </x:c>
      <x:c r="E20" s="39"/>
      <x:c r="F20" s="39"/>
      <x:c r="G20" s="39"/>
      <x:c r="H20" s="39"/>
    </x:row>
    <x:row r="21">
      <x:c r="A21" s="39"/>
      <x:c r="B21" s="39"/>
      <x:c r="C21" s="39"/>
      <x:c r="D21" s="39"/>
      <x:c r="E21" s="39"/>
      <x:c r="F21" s="39"/>
      <x:c r="G21" s="39"/>
      <x:c r="H21" s="39"/>
    </x:row>
    <x:row r="22">
      <x:c r="A22" s="39"/>
      <x:c r="B22" s="39"/>
      <x:c r="C22" s="39"/>
      <x:c r="D22" s="39"/>
      <x:c r="E22" s="39"/>
      <x:c r="F22" s="39"/>
      <x:c r="G22" s="39"/>
      <x:c r="H22" s="39"/>
    </x:row>
    <x:row r="23">
      <x:c r="A23" s="39"/>
      <x:c r="B23" s="39"/>
      <x:c r="C23" s="39"/>
      <x:c r="D23" s="39"/>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x:c r="A28" s="39"/>
      <x:c r="B28" s="39"/>
      <x:c r="C28" s="39"/>
      <x:c r="D28" s="39"/>
      <x:c r="E28" s="39"/>
      <x:c r="F28" s="39"/>
      <x:c r="G28" s="39"/>
      <x:c r="H28" s="39"/>
    </x:row>
    <x:row r="29">
      <x:c r="A29" s="39"/>
      <x:c r="B29" s="39"/>
      <x:c r="C29" s="39"/>
      <x:c r="D29" s="39"/>
      <x:c r="E29" s="39"/>
      <x:c r="F29" s="39"/>
      <x:c r="G29" s="39"/>
      <x:c r="H29" s="39"/>
    </x:row>
    <x:row r="30">
      <x:c r="A30" s="39"/>
      <x:c r="B30" s="39"/>
      <x:c r="C30" s="39"/>
      <x:c r="D30" s="39"/>
      <x:c r="E30" s="39"/>
      <x:c r="F30" s="39"/>
      <x:c r="G30" s="39"/>
      <x:c r="H30" s="39"/>
    </x:row>
    <x:row r="31">
      <x:c r="A31" s="39"/>
      <x:c r="B31" s="39"/>
      <x:c r="C31" s="39"/>
      <x:c r="D31" s="39"/>
      <x:c r="E31" s="39"/>
      <x:c r="F31" s="39"/>
      <x:c r="G31" s="39"/>
      <x:c r="H31" s="39"/>
    </x:row>
    <x:row r="32">
      <x:c r="A32" s="39"/>
      <x:c r="B32" s="39"/>
      <x:c r="C32" s="39"/>
      <x:c r="D32" s="39"/>
      <x:c r="E32" s="39"/>
      <x:c r="F32" s="39"/>
      <x:c r="G32" s="39"/>
      <x:c r="H32" s="39"/>
    </x:row>
    <x:row r="33">
      <x:c r="A33" s="39"/>
      <x:c r="B33" s="39"/>
      <x:c r="C33" s="39"/>
      <x:c r="D33" s="39"/>
      <x:c r="E33" s="39"/>
      <x:c r="F33" s="39"/>
      <x:c r="G33" s="39"/>
      <x:c r="H33" s="39"/>
    </x:row>
    <x:row r="34">
      <x:c r="A34" s="39"/>
      <x:c r="B34" s="39"/>
      <x:c r="C34" s="39"/>
      <x:c r="D34" s="39"/>
      <x:c r="E34" s="39"/>
      <x:c r="F34" s="39"/>
      <x:c r="G34" s="39"/>
      <x:c r="H34" s="39"/>
    </x:row>
    <x:row r="35">
      <x:c r="A35" s="39"/>
      <x:c r="B35" s="39"/>
      <x:c r="C35" s="39"/>
      <x:c r="D35" s="39"/>
      <x:c r="E35" s="39"/>
      <x:c r="F35" s="39"/>
      <x:c r="G35" s="39"/>
      <x:c r="H35" s="39"/>
    </x:row>
    <x:row r="36">
      <x:c r="A36" s="39"/>
      <x:c r="B36" s="39"/>
      <x:c r="C36" s="39"/>
      <x:c r="D36" s="39"/>
      <x:c r="E36" s="39"/>
      <x:c r="F36" s="39"/>
      <x:c r="G36" s="39"/>
      <x:c r="H36" s="39"/>
    </x:row>
    <x:row r="37">
      <x:c r="A37" s="39"/>
      <x:c r="B37" s="39"/>
      <x:c r="C37" s="39"/>
      <x:c r="D37" s="39"/>
      <x:c r="E37" s="39"/>
      <x:c r="F37" s="39"/>
      <x:c r="G37" s="39"/>
      <x:c r="H37" s="39"/>
    </x:row>
    <x:row r="38">
      <x:c r="A38" s="39"/>
      <x:c r="B38" s="39"/>
      <x:c r="C38" s="39"/>
      <x:c r="D38" s="39"/>
      <x:c r="E38" s="39"/>
      <x:c r="F38" s="39"/>
      <x:c r="G38" s="39"/>
      <x:c r="H38" s="39"/>
    </x:row>
    <x:row r="39">
      <x:c r="A39" s="39"/>
      <x:c r="B39" s="39"/>
      <x:c r="C39" s="39"/>
      <x:c r="D39" s="39"/>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x:c r="A42" s="39"/>
      <x:c r="B42" s="39"/>
      <x:c r="C42" s="39"/>
      <x:c r="D42" s="39"/>
      <x:c r="E42" s="39"/>
      <x:c r="F42" s="39"/>
      <x:c r="G42" s="39"/>
      <x:c r="H42" s="39"/>
    </x:row>
    <x:row r="43">
      <x:c r="A43" s="39"/>
      <x:c r="B43" s="39"/>
      <x:c r="C43" s="39"/>
      <x:c r="D43" s="39"/>
      <x:c r="E43" s="39"/>
      <x:c r="F43" s="39"/>
      <x:c r="G43" s="39"/>
      <x:c r="H43" s="39"/>
    </x:row>
    <x:row r="44">
      <x:c r="A44" s="39"/>
      <x:c r="B44" s="39"/>
      <x:c r="C44" s="39"/>
      <x:c r="D44" s="39"/>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6.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Bài 5 — Đáp án và giải thích</x:v>
      </x:c>
      <x:c r="B2" s="40"/>
      <x:c r="C2" s="40"/>
      <x:c r="D2" s="40"/>
      <x:c r="E2" s="39"/>
      <x:c r="F2" s="39"/>
      <x:c r="G2" s="39"/>
      <x:c r="H2" s="39"/>
    </x:row>
    <x:row r="3">
      <x:c r="A3" s="39" t="str">
        <x:v>Lê Duy Bảo</x:v>
      </x:c>
      <x:c r="B3" s="39"/>
      <x:c r="C3" s="39"/>
      <x:c r="D3" s="39"/>
      <x:c r="E3" s="39"/>
      <x:c r="F3" s="39"/>
      <x:c r="G3" s="39"/>
      <x:c r="H3" s="39"/>
    </x:row>
    <x:row r="4">
      <x:c r="A4" s="39"/>
      <x:c r="B4" s="39"/>
      <x:c r="C4" s="39"/>
      <x:c r="D4" s="39"/>
      <x:c r="E4" s="39"/>
      <x:c r="F4" s="39"/>
      <x:c r="G4" s="39"/>
      <x:c r="H4" s="39"/>
    </x:row>
    <x:row r="5" ht="34" customHeight="1">
      <x:c r="A5" s="41" t="str">
        <x:v>Câu</x:v>
      </x:c>
      <x:c r="B5" s="41" t="str">
        <x:v>Nội dung</x:v>
      </x:c>
      <x:c r="C5" s="41" t="str">
        <x:v>Đáp án</x:v>
      </x:c>
      <x:c r="D5" s="41" t="str">
        <x:v>Giải thích</x:v>
      </x:c>
      <x:c r="E5" s="39"/>
      <x:c r="F5" s="39"/>
      <x:c r="G5" s="39"/>
      <x:c r="H5" s="39"/>
    </x:row>
    <x:row r="6" ht="31" customHeight="1">
      <x:c r="A6" s="49" t="str">
        <x:v>5.1</x:v>
      </x:c>
      <x:c r="B6" s="42" t="str">
        <x:v>Chuyên gia chấm Đạt</x:v>
      </x:c>
      <x:c r="C6" s="42" t="n">
        <x:f>COUNTIFS(B28:B39,"Đ")</x:f>
        <x:v>8</x:v>
      </x:c>
      <x:c r="D6" s="42" t="str">
        <x:v>Các tin 1, 2, 4, 5, 7, 9, 11, 12.</x:v>
      </x:c>
      <x:c r="E6" s="39"/>
      <x:c r="F6" s="39"/>
      <x:c r="G6" s="39"/>
      <x:c r="H6" s="39"/>
    </x:row>
    <x:row r="7" ht="31" customHeight="1">
      <x:c r="A7" s="49" t="str">
        <x:v>5.2</x:v>
      </x:c>
      <x:c r="B7" s="42" t="str">
        <x:v>Giám khảo chấm Đạt</x:v>
      </x:c>
      <x:c r="C7" s="42" t="n">
        <x:f>COUNTIFS(C28:C39,"Đ")</x:f>
        <x:v>9</x:v>
      </x:c>
      <x:c r="D7" s="42" t="str">
        <x:v>Các tin 1, 2, 3, 4, 7, 8, 9, 11, 12.</x:v>
      </x:c>
      <x:c r="E7" s="39"/>
      <x:c r="F7" s="39"/>
      <x:c r="G7" s="39"/>
      <x:c r="H7" s="39"/>
    </x:row>
    <x:row r="8" ht="31" customHeight="1">
      <x:c r="A8" s="49" t="str">
        <x:v>5.3</x:v>
      </x:c>
      <x:c r="B8" s="42" t="str">
        <x:v>Số tin khớp</x:v>
      </x:c>
      <x:c r="C8" s="42" t="n">
        <x:f>SUM(D28:D39)</x:f>
        <x:v>9</x:v>
      </x:c>
      <x:c r="D8" s="42" t="str">
        <x:v>Khớp ở 1, 2, 4, 6, 7, 9, 10, 11, 12.</x:v>
      </x:c>
      <x:c r="E8" s="39"/>
      <x:c r="F8" s="39"/>
      <x:c r="G8" s="39"/>
      <x:c r="H8" s="39"/>
    </x:row>
    <x:row r="9" ht="31" customHeight="1">
      <x:c r="A9" s="49" t="str">
        <x:v>5.4</x:v>
      </x:c>
      <x:c r="B9" s="42" t="str">
        <x:v>Cả hai Đạt (TP)</x:v>
      </x:c>
      <x:c r="C9" s="42" t="n">
        <x:f>COUNTIFS(B28:B39,"Đ",C28:C39,"Đ")</x:f>
        <x:v>7</x:v>
      </x:c>
      <x:c r="D9" s="42" t="str">
        <x:v>1, 2, 4, 7, 9, 11, 12.</x:v>
      </x:c>
      <x:c r="E9" s="39"/>
      <x:c r="F9" s="39"/>
      <x:c r="G9" s="39"/>
      <x:c r="H9" s="39"/>
    </x:row>
    <x:row r="10" ht="31" customHeight="1">
      <x:c r="A10" s="49" t="str">
        <x:v>5.5</x:v>
      </x:c>
      <x:c r="B10" s="42" t="str">
        <x:v>Cho qua lỗi (FP)</x:v>
      </x:c>
      <x:c r="C10" s="42" t="n">
        <x:f>COUNTIFS(B28:B39,"K",C28:C39,"Đ")</x:f>
        <x:v>2</x:v>
      </x:c>
      <x:c r="D10" s="42" t="str">
        <x:v>Tin 3 và 8.</x:v>
      </x:c>
      <x:c r="E10" s="39"/>
      <x:c r="F10" s="39"/>
      <x:c r="G10" s="39"/>
      <x:c r="H10" s="39"/>
    </x:row>
    <x:row r="11" ht="31" customHeight="1">
      <x:c r="A11" s="49" t="str">
        <x:v>5.6</x:v>
      </x:c>
      <x:c r="B11" s="42" t="str">
        <x:v>Chặn nhầm (FN)</x:v>
      </x:c>
      <x:c r="C11" s="42" t="n">
        <x:f>COUNTIFS(B28:B39,"Đ",C28:C39,"K")</x:f>
        <x:v>1</x:v>
      </x:c>
      <x:c r="D11" s="42" t="str">
        <x:v>Tin 5.</x:v>
      </x:c>
      <x:c r="E11" s="39"/>
      <x:c r="F11" s="39"/>
      <x:c r="G11" s="39"/>
      <x:c r="H11" s="39"/>
    </x:row>
    <x:row r="12" ht="31" customHeight="1">
      <x:c r="A12" s="49" t="str">
        <x:v>5.7</x:v>
      </x:c>
      <x:c r="B12" s="42" t="str">
        <x:v>Cả hai Không đạt (TN)</x:v>
      </x:c>
      <x:c r="C12" s="42" t="n">
        <x:f>COUNTIFS(B28:B39,"K",C28:C39,"K")</x:f>
        <x:v>2</x:v>
      </x:c>
      <x:c r="D12" s="42" t="str">
        <x:v>Tin 6 và 10.</x:v>
      </x:c>
      <x:c r="E12" s="39"/>
      <x:c r="F12" s="39"/>
      <x:c r="G12" s="39"/>
      <x:c r="H12" s="39"/>
    </x:row>
    <x:row r="13" ht="31" customHeight="1">
      <x:c r="A13" s="49" t="str">
        <x:v>5.8</x:v>
      </x:c>
      <x:c r="B13" s="42" t="str">
        <x:v>TPR</x:v>
      </x:c>
      <x:c r="C13" s="43" t="n">
        <x:f>C9/(C9+C11)</x:f>
        <x:v>0.875</x:v>
      </x:c>
      <x:c r="D13" s="42" t="str">
        <x:v>TP / (TP + FN).</x:v>
      </x:c>
      <x:c r="E13" s="39"/>
      <x:c r="F13" s="39"/>
      <x:c r="G13" s="39"/>
      <x:c r="H13" s="39"/>
    </x:row>
    <x:row r="14" ht="31" customHeight="1">
      <x:c r="A14" s="49" t="str">
        <x:v>5.9</x:v>
      </x:c>
      <x:c r="B14" s="42" t="str">
        <x:v>TNR</x:v>
      </x:c>
      <x:c r="C14" s="50" t="n">
        <x:f>C12/(C12+C10)</x:f>
        <x:v>0.5</x:v>
      </x:c>
      <x:c r="D14" s="42" t="str">
        <x:v>TN / (TN + FP).</x:v>
      </x:c>
      <x:c r="E14" s="39"/>
      <x:c r="F14" s="39"/>
      <x:c r="G14" s="39"/>
      <x:c r="H14" s="39"/>
    </x:row>
    <x:row r="15" ht="42" customHeight="1">
      <x:c r="A15" s="49" t="str">
        <x:v>5.10</x:v>
      </x:c>
      <x:c r="B15" s="42" t="str">
        <x:v>Ngưỡng cả hai ≥85%</x:v>
      </x:c>
      <x:c r="C15" s="42" t="str">
        <x:v>B</x:v>
      </x:c>
      <x:c r="D15" s="42" t="str">
        <x:v>TNR thấp: siết định nghĩa Không đạt, thêm 3–4 ví dụ trượt sát ranh, rồi chấm lại.</x:v>
      </x:c>
      <x:c r="E15" s="39"/>
      <x:c r="F15" s="39"/>
      <x:c r="G15" s="39"/>
      <x:c r="H15" s="39"/>
    </x:row>
    <x:row r="16" ht="31" customHeight="1">
      <x:c r="A16" s="49" t="str">
        <x:v>5.11</x:v>
      </x:c>
      <x:c r="B16" s="42" t="str">
        <x:v>Ô nguy hiểm nhất</x:v>
      </x:c>
      <x:c r="C16" s="42" t="str">
        <x:v>Cho qua lỗi</x:v>
      </x:c>
      <x:c r="D16" s="42" t="str">
        <x:v>Output sai được đóng dấu Đạt sẽ lọt qua cổng kiểm soát.</x:v>
      </x:c>
      <x:c r="E16" s="39"/>
      <x:c r="F16" s="39"/>
      <x:c r="G16" s="39"/>
      <x:c r="H16" s="39"/>
    </x:row>
    <x:row r="17" ht="31" customHeight="1">
      <x:c r="A17" s="49" t="str">
        <x:v>5.12</x:v>
      </x:c>
      <x:c r="B17" s="42" t="str">
        <x:v>Kappa</x:v>
      </x:c>
      <x:c r="C17" s="44" t="n">
        <x:f>(C44-C45)/(1-C45)</x:f>
        <x:v>0.39999999999999997</x:v>
      </x:c>
      <x:c r="D17" s="42" t="str">
        <x:v>Po = 9/12; Pe = (9/12×8/12)+(3/12×4/12).</x:v>
      </x:c>
      <x:c r="E17" s="39"/>
      <x:c r="F17" s="39"/>
      <x:c r="G17" s="39"/>
      <x:c r="H17" s="39"/>
    </x:row>
    <x:row r="18" ht="31" customHeight="1">
      <x:c r="A18" s="49" t="str">
        <x:v>5.13</x:v>
      </x:c>
      <x:c r="B18" s="42" t="str">
        <x:v>Chênh lớn nhất dev/test</x:v>
      </x:c>
      <x:c r="C18" s="42" t="n">
        <x:v>4</x:v>
      </x:c>
      <x:c r="D18" s="42" t="str">
        <x:v>MAX(90−88, 89−85) = 4 điểm phần trăm.</x:v>
      </x:c>
      <x:c r="E18" s="39"/>
      <x:c r="F18" s="39"/>
      <x:c r="G18" s="39"/>
      <x:c r="H18" s="39"/>
    </x:row>
    <x:row r="19" ht="42" customHeight="1">
      <x:c r="A19" s="49" t="str">
        <x:v>5.14</x:v>
      </x:c>
      <x:c r="B19" s="42" t="str">
        <x:v>Đã hiệu chỉnh xong?</x:v>
      </x:c>
      <x:c r="C19" s="42" t="str">
        <x:v>Có</x:v>
      </x:c>
      <x:c r="D19" s="42" t="str">
        <x:v>Theo tiêu chuẩn bài: chênh ≤5 điểm; test TPR 88%, TNR 85%, đều ≥85%.</x:v>
      </x:c>
      <x:c r="E19" s="39"/>
      <x:c r="F19" s="39"/>
      <x:c r="G19" s="39"/>
      <x:c r="H19" s="39"/>
    </x:row>
    <x:row r="20" ht="42" customHeight="1">
      <x:c r="A20" s="49" t="str">
        <x:v>5.15</x:v>
      </x:c>
      <x:c r="B20" s="42" t="str">
        <x:v>Cùng họ mô hình công bằng hơn</x:v>
      </x:c>
      <x:c r="C20" s="42" t="str">
        <x:v>Sai</x:v>
      </x:c>
      <x:c r="D20" s="42" t="str">
        <x:v>Có nguy cơ tự thiên vị; cần đối chiếu với chuyên gia, không suy ra công bằng từ cùng họ.</x:v>
      </x:c>
      <x:c r="E20" s="39"/>
      <x:c r="F20" s="39"/>
      <x:c r="G20" s="39"/>
      <x:c r="H20" s="39"/>
    </x:row>
    <x:row r="21" ht="42" customHeight="1">
      <x:c r="A21" s="49" t="str">
        <x:v>5.16</x:v>
      </x:c>
      <x:c r="B21" s="42" t="str">
        <x:v>Dùng thang 1–10</x:v>
      </x:c>
      <x:c r="C21" s="42" t="str">
        <x:v>Sai</x:v>
      </x:c>
      <x:c r="D21" s="42" t="str">
        <x:v>Trong bài này dùng tiêu chí nhị phân Đạt/Không đạt với ranh giới kiểm được.</x:v>
      </x:c>
      <x:c r="E21" s="39"/>
      <x:c r="F21" s="39"/>
      <x:c r="G21" s="39"/>
      <x:c r="H21" s="39"/>
    </x:row>
    <x:row r="22" ht="42" customHeight="1">
      <x:c r="A22" s="49" t="str">
        <x:v>5.17</x:v>
      </x:c>
      <x:c r="B22" s="42" t="str">
        <x:v>Ba giám khảo, lấy đa số</x:v>
      </x:c>
      <x:c r="C22" s="42" t="str">
        <x:v>Sai</x:v>
      </x:c>
      <x:c r="D22" s="42" t="str">
        <x:v>Theo slide 55: chỉ cần một giám khảo gắn cờ là đưa ca cho người xem; đa số có thể cùng dễ dãi.</x:v>
      </x:c>
      <x:c r="E22" s="39"/>
      <x:c r="F22" s="39"/>
      <x:c r="G22" s="39"/>
      <x:c r="H22" s="39"/>
    </x:row>
    <x:row r="23" ht="42" customHeight="1">
      <x:c r="A23" s="49" t="str">
        <x:v>5.18</x:v>
      </x:c>
      <x:c r="B23" s="42" t="str">
        <x:v>Chuyên gia lệch, sửa tiêu chí trước</x:v>
      </x:c>
      <x:c r="C23" s="42" t="str">
        <x:v>Đúng</x:v>
      </x:c>
      <x:c r="D23" s="42" t="str">
        <x:v>Cần thống nhất rubric trước khi tự động hóa việc chấm.</x:v>
      </x:c>
      <x:c r="E23" s="39"/>
      <x:c r="F23" s="39"/>
      <x:c r="G23" s="39"/>
      <x:c r="H23" s="39"/>
    </x:row>
    <x:row r="24">
      <x:c r="A24" s="39"/>
      <x:c r="B24" s="39"/>
      <x:c r="C24" s="39"/>
      <x:c r="D24" s="39"/>
      <x:c r="E24" s="39"/>
      <x:c r="F24" s="39"/>
      <x:c r="G24" s="39"/>
      <x:c r="H24" s="39"/>
    </x:row>
    <x:row r="25">
      <x:c r="A25" s="39"/>
      <x:c r="B25" s="39"/>
      <x:c r="C25" s="39"/>
      <x:c r="D25" s="39"/>
      <x:c r="E25" s="39"/>
      <x:c r="F25" s="39"/>
      <x:c r="G25" s="39"/>
      <x:c r="H25" s="39"/>
    </x:row>
    <x:row r="26">
      <x:c r="A26" s="39"/>
      <x:c r="B26" s="39"/>
      <x:c r="C26" s="39"/>
      <x:c r="D26" s="39"/>
      <x:c r="E26" s="39"/>
      <x:c r="F26" s="39"/>
      <x:c r="G26" s="39"/>
      <x:c r="H26" s="39"/>
    </x:row>
    <x:row r="27" ht="34" customHeight="1">
      <x:c r="A27" s="41" t="str">
        <x:v>Tin</x:v>
      </x:c>
      <x:c r="B27" s="41" t="str">
        <x:v>Chuyên gia</x:v>
      </x:c>
      <x:c r="C27" s="41" t="str">
        <x:v>Giám khảo AI</x:v>
      </x:c>
      <x:c r="D27" s="41" t="str">
        <x:v>Khớp</x:v>
      </x:c>
      <x:c r="E27" s="39"/>
      <x:c r="F27" s="39"/>
      <x:c r="G27" s="39"/>
      <x:c r="H27" s="39"/>
    </x:row>
    <x:row r="28" ht="31" customHeight="1">
      <x:c r="A28" s="42" t="n">
        <x:v>1</x:v>
      </x:c>
      <x:c r="B28" s="42" t="str">
        <x:v>Đ</x:v>
      </x:c>
      <x:c r="C28" s="42" t="str">
        <x:v>Đ</x:v>
      </x:c>
      <x:c r="D28" s="42" t="n">
        <x:f>IF(B28=C28,1,0)</x:f>
        <x:v>1</x:v>
      </x:c>
      <x:c r="E28" s="39"/>
      <x:c r="F28" s="39"/>
      <x:c r="G28" s="39"/>
      <x:c r="H28" s="39"/>
    </x:row>
    <x:row r="29" ht="31" customHeight="1">
      <x:c r="A29" s="42" t="n">
        <x:v>2</x:v>
      </x:c>
      <x:c r="B29" s="42" t="str">
        <x:v>Đ</x:v>
      </x:c>
      <x:c r="C29" s="42" t="str">
        <x:v>Đ</x:v>
      </x:c>
      <x:c r="D29" s="42" t="n">
        <x:f>IF(B29=C29,1,0)</x:f>
        <x:v>1</x:v>
      </x:c>
      <x:c r="E29" s="39"/>
      <x:c r="F29" s="39"/>
      <x:c r="G29" s="39"/>
      <x:c r="H29" s="39"/>
    </x:row>
    <x:row r="30" ht="31" customHeight="1">
      <x:c r="A30" s="42" t="n">
        <x:v>3</x:v>
      </x:c>
      <x:c r="B30" s="42" t="str">
        <x:v>K</x:v>
      </x:c>
      <x:c r="C30" s="42" t="str">
        <x:v>Đ</x:v>
      </x:c>
      <x:c r="D30" s="42" t="n">
        <x:f>IF(B30=C30,1,0)</x:f>
        <x:v>0</x:v>
      </x:c>
      <x:c r="E30" s="39"/>
      <x:c r="F30" s="39"/>
      <x:c r="G30" s="39"/>
      <x:c r="H30" s="39"/>
    </x:row>
    <x:row r="31" ht="31" customHeight="1">
      <x:c r="A31" s="42" t="n">
        <x:v>4</x:v>
      </x:c>
      <x:c r="B31" s="42" t="str">
        <x:v>Đ</x:v>
      </x:c>
      <x:c r="C31" s="42" t="str">
        <x:v>Đ</x:v>
      </x:c>
      <x:c r="D31" s="42" t="n">
        <x:f>IF(B31=C31,1,0)</x:f>
        <x:v>1</x:v>
      </x:c>
      <x:c r="E31" s="39"/>
      <x:c r="F31" s="39"/>
      <x:c r="G31" s="39"/>
      <x:c r="H31" s="39"/>
    </x:row>
    <x:row r="32" ht="31" customHeight="1">
      <x:c r="A32" s="42" t="n">
        <x:v>5</x:v>
      </x:c>
      <x:c r="B32" s="42" t="str">
        <x:v>Đ</x:v>
      </x:c>
      <x:c r="C32" s="42" t="str">
        <x:v>K</x:v>
      </x:c>
      <x:c r="D32" s="42" t="n">
        <x:f>IF(B32=C32,1,0)</x:f>
        <x:v>0</x:v>
      </x:c>
      <x:c r="E32" s="39"/>
      <x:c r="F32" s="39"/>
      <x:c r="G32" s="39"/>
      <x:c r="H32" s="39"/>
    </x:row>
    <x:row r="33" ht="31" customHeight="1">
      <x:c r="A33" s="42" t="n">
        <x:v>6</x:v>
      </x:c>
      <x:c r="B33" s="42" t="str">
        <x:v>K</x:v>
      </x:c>
      <x:c r="C33" s="42" t="str">
        <x:v>K</x:v>
      </x:c>
      <x:c r="D33" s="42" t="n">
        <x:f>IF(B33=C33,1,0)</x:f>
        <x:v>1</x:v>
      </x:c>
      <x:c r="E33" s="39"/>
      <x:c r="F33" s="39"/>
      <x:c r="G33" s="39"/>
      <x:c r="H33" s="39"/>
    </x:row>
    <x:row r="34" ht="31" customHeight="1">
      <x:c r="A34" s="42" t="n">
        <x:v>7</x:v>
      </x:c>
      <x:c r="B34" s="42" t="str">
        <x:v>Đ</x:v>
      </x:c>
      <x:c r="C34" s="42" t="str">
        <x:v>Đ</x:v>
      </x:c>
      <x:c r="D34" s="42" t="n">
        <x:f>IF(B34=C34,1,0)</x:f>
        <x:v>1</x:v>
      </x:c>
      <x:c r="E34" s="39"/>
      <x:c r="F34" s="39"/>
      <x:c r="G34" s="39"/>
      <x:c r="H34" s="39"/>
    </x:row>
    <x:row r="35" ht="31" customHeight="1">
      <x:c r="A35" s="42" t="n">
        <x:v>8</x:v>
      </x:c>
      <x:c r="B35" s="42" t="str">
        <x:v>K</x:v>
      </x:c>
      <x:c r="C35" s="42" t="str">
        <x:v>Đ</x:v>
      </x:c>
      <x:c r="D35" s="42" t="n">
        <x:f>IF(B35=C35,1,0)</x:f>
        <x:v>0</x:v>
      </x:c>
      <x:c r="E35" s="39"/>
      <x:c r="F35" s="39"/>
      <x:c r="G35" s="39"/>
      <x:c r="H35" s="39"/>
    </x:row>
    <x:row r="36" ht="31" customHeight="1">
      <x:c r="A36" s="42" t="n">
        <x:v>9</x:v>
      </x:c>
      <x:c r="B36" s="42" t="str">
        <x:v>Đ</x:v>
      </x:c>
      <x:c r="C36" s="42" t="str">
        <x:v>Đ</x:v>
      </x:c>
      <x:c r="D36" s="42" t="n">
        <x:f>IF(B36=C36,1,0)</x:f>
        <x:v>1</x:v>
      </x:c>
      <x:c r="E36" s="39"/>
      <x:c r="F36" s="39"/>
      <x:c r="G36" s="39"/>
      <x:c r="H36" s="39"/>
    </x:row>
    <x:row r="37" ht="31" customHeight="1">
      <x:c r="A37" s="42" t="n">
        <x:v>10</x:v>
      </x:c>
      <x:c r="B37" s="42" t="str">
        <x:v>K</x:v>
      </x:c>
      <x:c r="C37" s="42" t="str">
        <x:v>K</x:v>
      </x:c>
      <x:c r="D37" s="42" t="n">
        <x:f>IF(B37=C37,1,0)</x:f>
        <x:v>1</x:v>
      </x:c>
      <x:c r="E37" s="39"/>
      <x:c r="F37" s="39"/>
      <x:c r="G37" s="39"/>
      <x:c r="H37" s="39"/>
    </x:row>
    <x:row r="38" ht="31" customHeight="1">
      <x:c r="A38" s="42" t="n">
        <x:v>11</x:v>
      </x:c>
      <x:c r="B38" s="42" t="str">
        <x:v>Đ</x:v>
      </x:c>
      <x:c r="C38" s="42" t="str">
        <x:v>Đ</x:v>
      </x:c>
      <x:c r="D38" s="42" t="n">
        <x:f>IF(B38=C38,1,0)</x:f>
        <x:v>1</x:v>
      </x:c>
      <x:c r="E38" s="39"/>
      <x:c r="F38" s="39"/>
      <x:c r="G38" s="39"/>
      <x:c r="H38" s="39"/>
    </x:row>
    <x:row r="39" ht="31" customHeight="1">
      <x:c r="A39" s="42" t="n">
        <x:v>12</x:v>
      </x:c>
      <x:c r="B39" s="42" t="str">
        <x:v>Đ</x:v>
      </x:c>
      <x:c r="C39" s="42" t="str">
        <x:v>Đ</x:v>
      </x:c>
      <x:c r="D39" s="42" t="n">
        <x:f>IF(B39=C39,1,0)</x:f>
        <x:v>1</x:v>
      </x:c>
      <x:c r="E39" s="39"/>
      <x:c r="F39" s="39"/>
      <x:c r="G39" s="39"/>
      <x:c r="H39" s="39"/>
    </x:row>
    <x:row r="40">
      <x:c r="A40" s="39"/>
      <x:c r="B40" s="39"/>
      <x:c r="C40" s="39"/>
      <x:c r="D40" s="39"/>
      <x:c r="E40" s="39"/>
      <x:c r="F40" s="39"/>
      <x:c r="G40" s="39"/>
      <x:c r="H40" s="39"/>
    </x:row>
    <x:row r="41">
      <x:c r="A41" s="39"/>
      <x:c r="B41" s="39"/>
      <x:c r="C41" s="39"/>
      <x:c r="D41" s="39"/>
      <x:c r="E41" s="39"/>
      <x:c r="F41" s="39"/>
      <x:c r="G41" s="39"/>
      <x:c r="H41" s="39"/>
    </x:row>
    <x:row r="42" ht="34" customHeight="1">
      <x:c r="A42" s="41" t="str">
        <x:v>Chỉ số</x:v>
      </x:c>
      <x:c r="B42" s="41" t="str">
        <x:v>Công thức ý nghĩa</x:v>
      </x:c>
      <x:c r="C42" s="41" t="str">
        <x:v>Kết quả</x:v>
      </x:c>
      <x:c r="D42" s="39"/>
      <x:c r="E42" s="39"/>
      <x:c r="F42" s="39"/>
      <x:c r="G42" s="39"/>
      <x:c r="H42" s="39"/>
    </x:row>
    <x:row r="43" ht="31" customHeight="1">
      <x:c r="A43" s="42"/>
      <x:c r="B43" s="42"/>
      <x:c r="C43" s="55"/>
      <x:c r="D43" s="39"/>
      <x:c r="E43" s="39"/>
      <x:c r="F43" s="39"/>
      <x:c r="G43" s="39"/>
      <x:c r="H43" s="39"/>
    </x:row>
    <x:row r="44" ht="31" customHeight="1">
      <x:c r="A44" s="42" t="str">
        <x:v>Po</x:v>
      </x:c>
      <x:c r="B44" s="42" t="str">
        <x:v>Tỷ lệ khớp</x:v>
      </x:c>
      <x:c r="C44" s="55" t="n">
        <x:f>C8/12</x:f>
        <x:v>0.75</x:v>
      </x:c>
      <x:c r="D44" s="39"/>
      <x:c r="E44" s="39"/>
      <x:c r="F44" s="39"/>
      <x:c r="G44" s="39"/>
      <x:c r="H44" s="39"/>
    </x:row>
    <x:row r="45">
      <x:c r="A45" s="39" t="str">
        <x:v>Pe</x:v>
      </x:c>
      <x:c r="B45" s="39" t="str">
        <x:v>Tỷ lệ khớp ngẫu nhiên</x:v>
      </x:c>
      <x:c r="C45" s="56" t="n">
        <x:f>(C6/12*C7/12)+((12-C6)/12*(12-C7)/12)</x:f>
        <x:v>0.5833333333333334</x:v>
      </x:c>
      <x:c r="D45" s="39"/>
      <x:c r="E45" s="39"/>
      <x:c r="F45" s="39"/>
      <x:c r="G45" s="39"/>
      <x:c r="H45" s="39"/>
    </x:row>
    <x:row r="46">
      <x:c r="A46" s="39"/>
      <x:c r="B46" s="39"/>
      <x:c r="C46" s="39"/>
      <x:c r="D46" s="39"/>
      <x:c r="E46" s="39"/>
      <x:c r="F46" s="39"/>
      <x:c r="G46" s="39"/>
      <x:c r="H46" s="39"/>
    </x:row>
    <x:row r="47">
      <x:c r="A47" s="39"/>
      <x:c r="B47" s="39"/>
      <x:c r="C47" s="39"/>
      <x:c r="D47" s="39"/>
      <x:c r="E47" s="39"/>
      <x:c r="F47" s="39"/>
      <x:c r="G47" s="39"/>
      <x:c r="H47" s="39"/>
    </x:row>
    <x:row r="48">
      <x:c r="A48" s="39"/>
      <x:c r="B48" s="39"/>
      <x:c r="C48" s="39"/>
      <x:c r="D48" s="39"/>
      <x:c r="E48" s="39"/>
      <x:c r="F48" s="39"/>
      <x:c r="G48" s="39"/>
      <x:c r="H48" s="39"/>
    </x:row>
    <x:row r="49">
      <x:c r="A49" s="39"/>
      <x:c r="B49" s="39"/>
      <x:c r="C49" s="39"/>
      <x:c r="D49" s="39"/>
      <x:c r="E49" s="39"/>
      <x:c r="F49" s="39"/>
      <x:c r="G49" s="39"/>
      <x:c r="H49" s="39"/>
    </x:row>
    <x:row r="50">
      <x:c r="A50" s="39"/>
      <x:c r="B50" s="39"/>
      <x:c r="C50" s="39"/>
      <x:c r="D50" s="39"/>
      <x:c r="E50" s="39"/>
      <x:c r="F50" s="39"/>
      <x:c r="G50" s="39"/>
      <x:c r="H50" s="39"/>
    </x:row>
    <x:row r="51">
      <x:c r="A51" s="39"/>
      <x:c r="B51" s="39"/>
      <x:c r="C51" s="39"/>
      <x:c r="D51" s="39"/>
      <x:c r="E51" s="39"/>
      <x:c r="F51" s="39"/>
      <x:c r="G51" s="39"/>
      <x:c r="H51" s="39"/>
    </x:row>
    <x:row r="52">
      <x:c r="A52" s="39"/>
      <x:c r="B52" s="39"/>
      <x:c r="C52" s="39"/>
      <x:c r="D52" s="39"/>
      <x:c r="E52" s="39"/>
      <x:c r="F52" s="39"/>
      <x:c r="G52" s="39"/>
      <x:c r="H52" s="39"/>
    </x:row>
    <x:row r="53">
      <x:c r="A53" s="39"/>
      <x:c r="B53" s="39"/>
      <x:c r="C53" s="39"/>
      <x:c r="D53" s="39"/>
      <x:c r="E53" s="39"/>
      <x:c r="F53" s="39"/>
      <x:c r="G53" s="39"/>
      <x:c r="H53" s="39"/>
    </x:row>
    <x:row r="54">
      <x:c r="A54" s="39"/>
      <x:c r="B54" s="39"/>
      <x:c r="C54" s="39"/>
      <x:c r="D54" s="39"/>
      <x:c r="E54" s="39"/>
      <x:c r="F54" s="39"/>
      <x:c r="G54" s="39"/>
      <x:c r="H54" s="39"/>
    </x:row>
    <x:row r="55">
      <x:c r="A55" s="39"/>
      <x:c r="B55" s="39"/>
      <x:c r="C55" s="39"/>
      <x:c r="D55" s="39"/>
      <x:c r="E55" s="39"/>
      <x:c r="F55" s="39"/>
      <x:c r="G55" s="39"/>
      <x:c r="H55" s="39"/>
    </x:row>
    <x:row r="56">
      <x:c r="A56" s="39"/>
      <x:c r="B56" s="39"/>
      <x:c r="C56" s="39"/>
      <x:c r="D56" s="39"/>
      <x:c r="E56" s="39"/>
      <x:c r="F56" s="39"/>
      <x:c r="G56" s="39"/>
      <x:c r="H56" s="39"/>
    </x:row>
    <x:row r="57">
      <x:c r="A57" s="39"/>
      <x:c r="B57" s="39"/>
      <x:c r="C57" s="39"/>
      <x:c r="D57" s="39"/>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x:c r="A60" s="39"/>
      <x:c r="B60" s="39"/>
      <x:c r="C60" s="39"/>
      <x:c r="D60" s="39"/>
      <x:c r="E60" s="39"/>
      <x:c r="F60" s="39"/>
      <x:c r="G60" s="39"/>
      <x:c r="H60" s="39"/>
    </x:row>
    <x:row r="61">
      <x:c r="A61" s="39"/>
      <x:c r="B61" s="39"/>
      <x:c r="C61" s="39"/>
      <x:c r="D61" s="39"/>
      <x:c r="E61" s="39"/>
      <x:c r="F61" s="39"/>
      <x:c r="G61" s="39"/>
      <x:c r="H61" s="39"/>
    </x:row>
    <x:row r="62">
      <x:c r="A62" s="39"/>
      <x:c r="B62" s="39"/>
      <x:c r="C62" s="39"/>
      <x:c r="D62" s="39"/>
      <x:c r="E62" s="39"/>
      <x:c r="F62" s="39"/>
      <x:c r="G62" s="39"/>
      <x:c r="H62" s="39"/>
    </x:row>
    <x:row r="63">
      <x:c r="A63" s="39"/>
      <x:c r="B63" s="39"/>
      <x:c r="C63" s="39"/>
      <x:c r="D63" s="39"/>
      <x:c r="E63" s="39"/>
      <x:c r="F63" s="39"/>
      <x:c r="G63" s="39"/>
      <x:c r="H63" s="39"/>
    </x:row>
    <x:row r="64">
      <x:c r="A64" s="39"/>
      <x:c r="B64" s="39"/>
      <x:c r="C64" s="39"/>
      <x:c r="D64" s="39"/>
      <x:c r="E64" s="39"/>
      <x:c r="F64" s="39"/>
      <x:c r="G64" s="39"/>
      <x:c r="H64" s="39"/>
    </x:row>
    <x:row r="65">
      <x:c r="A65" s="39"/>
      <x:c r="B65" s="39"/>
      <x:c r="C65" s="39"/>
      <x:c r="D65" s="39"/>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x:c r="A68" s="39"/>
      <x:c r="B68" s="39"/>
      <x:c r="C68" s="39"/>
      <x:c r="D68" s="39"/>
      <x:c r="E68" s="39"/>
      <x:c r="F68" s="39"/>
      <x:c r="G68" s="39"/>
      <x:c r="H68" s="39"/>
    </x:row>
    <x:row r="69">
      <x:c r="A69" s="39"/>
      <x:c r="B69" s="39"/>
      <x:c r="C69" s="39"/>
      <x:c r="D69" s="39"/>
      <x:c r="E69" s="39"/>
      <x:c r="F69" s="39"/>
      <x:c r="G69" s="39"/>
      <x:c r="H69" s="39"/>
    </x:row>
    <x:row r="70">
      <x:c r="A70" s="39"/>
      <x:c r="B70" s="39"/>
      <x:c r="C70" s="39"/>
      <x:c r="D70" s="39"/>
      <x:c r="E70" s="39"/>
      <x:c r="F70" s="39"/>
      <x:c r="G70" s="39"/>
      <x:c r="H70" s="39"/>
    </x:row>
    <x:row r="71">
      <x:c r="A71" s="39"/>
      <x:c r="B71" s="39"/>
      <x:c r="C71" s="39"/>
      <x:c r="D71" s="39"/>
      <x:c r="E71" s="39"/>
      <x:c r="F71" s="39"/>
      <x:c r="G71" s="39"/>
      <x:c r="H71" s="39"/>
    </x:row>
    <x:row r="72">
      <x:c r="A72" s="39"/>
      <x:c r="B72" s="39"/>
      <x:c r="C72" s="39"/>
      <x:c r="D72" s="39"/>
      <x:c r="E72" s="39"/>
      <x:c r="F72" s="39"/>
      <x:c r="G72" s="39"/>
      <x:c r="H72" s="39"/>
    </x:row>
    <x:row r="73">
      <x:c r="A73" s="39"/>
      <x:c r="B73" s="39"/>
      <x:c r="C73" s="39"/>
      <x:c r="D73" s="39"/>
      <x:c r="E73" s="39"/>
      <x:c r="F73" s="39"/>
      <x:c r="G73" s="39"/>
      <x:c r="H73" s="39"/>
    </x:row>
    <x:row r="74">
      <x:c r="A74" s="39"/>
      <x:c r="B74" s="39"/>
      <x:c r="C74" s="39"/>
      <x:c r="D74" s="39"/>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x:c r="A77" s="39"/>
      <x:c r="B77" s="39"/>
      <x:c r="C77" s="39"/>
      <x:c r="D77" s="39"/>
      <x:c r="E77" s="39"/>
      <x:c r="F77" s="39"/>
      <x:c r="G77" s="39"/>
      <x:c r="H77" s="39"/>
    </x:row>
    <x:row r="78">
      <x:c r="A78" s="39"/>
      <x:c r="B78" s="39"/>
      <x:c r="C78" s="39"/>
      <x:c r="D78" s="39"/>
      <x:c r="E78" s="39"/>
      <x:c r="F78" s="39"/>
      <x:c r="G78" s="39"/>
      <x:c r="H78" s="39"/>
    </x:row>
    <x:row r="79">
      <x:c r="A79" s="39"/>
      <x:c r="B79" s="39"/>
      <x:c r="C79" s="39"/>
      <x:c r="D79" s="39"/>
      <x:c r="E79" s="39"/>
      <x:c r="F79" s="39"/>
      <x:c r="G79" s="39"/>
      <x:c r="H79" s="39"/>
    </x:row>
    <x:row r="80">
      <x:c r="A80" s="39"/>
      <x:c r="B80" s="39"/>
      <x:c r="C80" s="39"/>
      <x:c r="D80" s="39"/>
      <x:c r="E80" s="39"/>
      <x:c r="F80" s="39"/>
      <x:c r="G80" s="39"/>
      <x:c r="H80" s="39"/>
    </x:row>
    <x:row r="81">
      <x:c r="A81" s="39"/>
      <x:c r="B81" s="39"/>
      <x:c r="C81" s="39"/>
      <x:c r="D81" s="39"/>
      <x:c r="E81" s="39"/>
      <x:c r="F81" s="39"/>
      <x:c r="G81" s="39"/>
      <x:c r="H81" s="39"/>
    </x:row>
    <x:row r="82">
      <x:c r="A82" s="39"/>
      <x:c r="B82" s="39"/>
      <x:c r="C82" s="39"/>
      <x:c r="D82" s="39"/>
      <x:c r="E82" s="39"/>
      <x:c r="F82" s="39"/>
      <x:c r="G82" s="39"/>
      <x:c r="H82" s="39"/>
    </x:row>
    <x:row r="83">
      <x:c r="A83" s="39"/>
      <x:c r="B83" s="39"/>
      <x:c r="C83" s="39"/>
      <x:c r="D83" s="39"/>
      <x:c r="E83" s="39"/>
      <x:c r="F83" s="39"/>
      <x:c r="G83" s="39"/>
      <x:c r="H83" s="39"/>
    </x:row>
    <x:row r="84">
      <x:c r="A84" s="39"/>
      <x:c r="B84" s="39"/>
      <x:c r="C84" s="39"/>
      <x:c r="D84" s="39"/>
      <x:c r="E84" s="39"/>
      <x:c r="F84" s="39"/>
      <x:c r="G84" s="39"/>
      <x:c r="H84" s="39"/>
    </x:row>
    <x:row r="85">
      <x:c r="A85" s="39"/>
      <x:c r="B85" s="39"/>
      <x:c r="C85" s="39"/>
      <x:c r="D85" s="39"/>
      <x:c r="E85" s="39"/>
      <x:c r="F85" s="39"/>
      <x:c r="G85" s="39"/>
      <x:c r="H85" s="39"/>
    </x:row>
    <x:row r="86">
      <x:c r="A86" s="39"/>
      <x:c r="B86" s="39"/>
      <x:c r="C86" s="39"/>
      <x:c r="D86" s="39"/>
      <x:c r="E86" s="39"/>
      <x:c r="F86" s="39"/>
      <x:c r="G86" s="39"/>
      <x:c r="H86" s="39"/>
    </x:row>
    <x:row r="87">
      <x:c r="A87" s="39"/>
      <x:c r="B87" s="39"/>
      <x:c r="C87" s="39"/>
      <x:c r="D87" s="39"/>
      <x:c r="E87" s="39"/>
      <x:c r="F87" s="39"/>
      <x:c r="G87" s="39"/>
      <x:c r="H87" s="39"/>
    </x:row>
    <x:row r="88">
      <x:c r="A88" s="39"/>
      <x:c r="B88" s="39"/>
      <x:c r="C88" s="39"/>
      <x:c r="D88" s="39"/>
      <x:c r="E88" s="39"/>
      <x:c r="F88" s="39"/>
      <x:c r="G88" s="39"/>
      <x:c r="H88" s="39"/>
    </x:row>
    <x:row r="89">
      <x:c r="A89" s="39"/>
      <x:c r="B89" s="39"/>
      <x:c r="C89" s="39"/>
      <x:c r="D89" s="39"/>
      <x:c r="E89" s="39"/>
      <x:c r="F89" s="39"/>
      <x:c r="G89" s="39"/>
      <x:c r="H89" s="39"/>
    </x:row>
    <x:row r="90">
      <x:c r="A90" s="39"/>
      <x:c r="B90" s="39"/>
      <x:c r="C90" s="39"/>
      <x:c r="D90" s="39"/>
      <x:c r="E90" s="39"/>
      <x:c r="F90" s="39"/>
      <x:c r="G90" s="39"/>
      <x:c r="H90" s="39"/>
    </x:row>
    <x:row r="91">
      <x:c r="A91" s="39"/>
      <x:c r="B91" s="39"/>
      <x:c r="C91" s="39"/>
      <x:c r="D91" s="39"/>
      <x:c r="E91" s="39"/>
      <x:c r="F91" s="39"/>
      <x:c r="G91" s="39"/>
      <x:c r="H91" s="39"/>
    </x:row>
    <x:row r="92">
      <x:c r="A92" s="39"/>
      <x:c r="B92" s="39"/>
      <x:c r="C92" s="39"/>
      <x:c r="D92" s="39"/>
      <x:c r="E92" s="39"/>
      <x:c r="F92" s="39"/>
      <x:c r="G92" s="39"/>
      <x:c r="H92" s="39"/>
    </x:row>
    <x:row r="93">
      <x:c r="A93" s="39"/>
      <x:c r="B93" s="39"/>
      <x:c r="C93" s="39"/>
      <x:c r="D93" s="39"/>
      <x:c r="E93" s="39"/>
      <x:c r="F93" s="39"/>
      <x:c r="G93" s="39"/>
      <x:c r="H93" s="39"/>
    </x:row>
    <x:row r="94">
      <x:c r="A94" s="39"/>
      <x:c r="B94" s="39"/>
      <x:c r="C94" s="39"/>
      <x:c r="D94" s="39"/>
      <x:c r="E94" s="39"/>
      <x:c r="F94" s="39"/>
      <x:c r="G94" s="39"/>
      <x:c r="H94" s="39"/>
    </x:row>
    <x:row r="95">
      <x:c r="A95" s="39"/>
      <x:c r="B95" s="39"/>
      <x:c r="C95" s="39"/>
      <x:c r="D95" s="39"/>
      <x:c r="E95" s="39"/>
      <x:c r="F95" s="39"/>
      <x:c r="G95" s="39"/>
      <x:c r="H95" s="39"/>
    </x:row>
    <x:row r="96">
      <x:c r="A96" s="39"/>
      <x:c r="B96" s="39"/>
      <x:c r="C96" s="39"/>
      <x:c r="D96" s="39"/>
      <x:c r="E96" s="39"/>
      <x:c r="F96" s="39"/>
      <x:c r="G96" s="39"/>
      <x:c r="H96" s="39"/>
    </x:row>
    <x:row r="97">
      <x:c r="A97" s="39"/>
      <x:c r="B97" s="39"/>
      <x:c r="C97" s="39"/>
      <x:c r="D97" s="39"/>
      <x:c r="E97" s="39"/>
      <x:c r="F97" s="39"/>
      <x:c r="G97" s="39"/>
      <x:c r="H97" s="39"/>
    </x:row>
    <x:row r="98">
      <x:c r="A98" s="39"/>
      <x:c r="B98" s="39"/>
      <x:c r="C98" s="39"/>
      <x:c r="D98" s="39"/>
      <x:c r="E98" s="39"/>
      <x:c r="F98" s="39"/>
      <x:c r="G98" s="39"/>
      <x:c r="H98" s="39"/>
    </x:row>
    <x:row r="99">
      <x:c r="A99" s="39"/>
      <x:c r="B99" s="39"/>
      <x:c r="C99" s="39"/>
      <x:c r="D99" s="39"/>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x:c r="A102" s="39"/>
      <x:c r="B102" s="39"/>
      <x:c r="C102" s="39"/>
      <x:c r="D102" s="39"/>
      <x:c r="E102" s="39"/>
      <x:c r="F102" s="39"/>
      <x:c r="G102" s="39"/>
      <x:c r="H102" s="39"/>
    </x:row>
    <x:row r="103">
      <x:c r="A103" s="39"/>
      <x:c r="B103" s="39"/>
      <x:c r="C103" s="39"/>
      <x:c r="D103" s="39"/>
      <x:c r="E103" s="39"/>
      <x:c r="F103" s="39"/>
      <x:c r="G103" s="39"/>
      <x:c r="H103" s="39"/>
    </x:row>
    <x:row r="104">
      <x:c r="A104" s="39"/>
      <x:c r="B104" s="39"/>
      <x:c r="C104" s="39"/>
      <x:c r="D104" s="39"/>
      <x:c r="E104" s="39"/>
      <x:c r="F104" s="39"/>
      <x:c r="G104" s="39"/>
      <x:c r="H104" s="39"/>
    </x:row>
    <x:row r="105">
      <x:c r="A105" s="39"/>
      <x:c r="B105" s="39"/>
      <x:c r="C105" s="39"/>
      <x:c r="D105" s="39"/>
      <x:c r="E105" s="39"/>
      <x:c r="F105" s="39"/>
      <x:c r="G105" s="39"/>
      <x:c r="H105" s="39"/>
    </x:row>
    <x:row r="106">
      <x:c r="A106" s="39"/>
      <x:c r="B106" s="39"/>
      <x:c r="C106" s="39"/>
      <x:c r="D106" s="39"/>
      <x:c r="E106" s="39"/>
      <x:c r="F106" s="39"/>
      <x:c r="G106" s="39"/>
      <x:c r="H106" s="39"/>
    </x:row>
    <x:row r="107">
      <x:c r="A107" s="39"/>
      <x:c r="B107" s="39"/>
      <x:c r="C107" s="39"/>
      <x:c r="D107" s="39"/>
      <x:c r="E107" s="39"/>
      <x:c r="F107" s="39"/>
      <x:c r="G107" s="39"/>
      <x:c r="H107" s="39"/>
    </x:row>
    <x:row r="108">
      <x:c r="A108" s="39"/>
      <x:c r="B108" s="39"/>
      <x:c r="C108" s="39"/>
      <x:c r="D108" s="39"/>
      <x:c r="E108" s="39"/>
      <x:c r="F108" s="39"/>
      <x:c r="G108" s="39"/>
      <x:c r="H108" s="39"/>
    </x:row>
    <x:row r="109">
      <x:c r="A109" s="39"/>
      <x:c r="B109" s="39"/>
      <x:c r="C109" s="39"/>
      <x:c r="D109" s="39"/>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x:c r="A112" s="39"/>
      <x:c r="B112" s="39"/>
      <x:c r="C112" s="39"/>
      <x:c r="D112" s="39"/>
      <x:c r="E112" s="39"/>
      <x:c r="F112" s="39"/>
      <x:c r="G112" s="39"/>
      <x:c r="H112" s="39"/>
    </x:row>
    <x:row r="113">
      <x:c r="A113" s="39"/>
      <x:c r="B113" s="39"/>
      <x:c r="C113" s="39"/>
      <x:c r="D113" s="39"/>
      <x:c r="E113" s="39"/>
      <x:c r="F113" s="39"/>
      <x:c r="G113" s="39"/>
      <x:c r="H113" s="39"/>
    </x:row>
    <x:row r="114">
      <x:c r="A114" s="39"/>
      <x:c r="B114" s="39"/>
      <x:c r="C114" s="39"/>
      <x:c r="D114" s="39"/>
      <x:c r="E114" s="39"/>
      <x:c r="F114" s="39"/>
      <x:c r="G114" s="39"/>
      <x:c r="H114" s="39"/>
    </x:row>
    <x:row r="115">
      <x:c r="A115" s="39"/>
      <x:c r="B115" s="39"/>
      <x:c r="C115" s="39"/>
      <x:c r="D115" s="39"/>
      <x:c r="E115" s="39"/>
      <x:c r="F115" s="39"/>
      <x:c r="G115" s="39"/>
      <x:c r="H115" s="39"/>
    </x:row>
    <x:row r="116">
      <x:c r="A116" s="39"/>
      <x:c r="B116" s="39"/>
      <x:c r="C116" s="39"/>
      <x:c r="D116" s="39"/>
      <x:c r="E116" s="39"/>
      <x:c r="F116" s="39"/>
      <x:c r="G116" s="39"/>
      <x:c r="H116" s="39"/>
    </x:row>
    <x:row r="117">
      <x:c r="A117" s="39"/>
      <x:c r="B117" s="39"/>
      <x:c r="C117" s="39"/>
      <x:c r="D117" s="39"/>
      <x:c r="E117" s="39"/>
      <x:c r="F117" s="39"/>
      <x:c r="G117" s="39"/>
      <x:c r="H117" s="39"/>
    </x:row>
    <x:row r="118">
      <x:c r="A118" s="39"/>
      <x:c r="B118" s="39"/>
      <x:c r="C118" s="39"/>
      <x:c r="D118" s="39"/>
      <x:c r="E118" s="39"/>
      <x:c r="F118" s="39"/>
      <x:c r="G118" s="39"/>
      <x:c r="H118" s="39"/>
    </x:row>
    <x:row r="119">
      <x:c r="A119" s="39"/>
      <x:c r="B119" s="39"/>
      <x:c r="C119" s="39"/>
      <x:c r="D119" s="39"/>
      <x:c r="E119" s="39"/>
      <x:c r="F119" s="39"/>
      <x:c r="G119" s="39"/>
      <x:c r="H119" s="39"/>
    </x:row>
    <x:row r="120">
      <x:c r="A120" s="39"/>
      <x:c r="B120" s="39"/>
      <x:c r="C120" s="39"/>
      <x:c r="D120" s="39"/>
      <x:c r="E120" s="39"/>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x:c r="A123" s="39"/>
      <x:c r="B123" s="39"/>
      <x:c r="C123" s="39"/>
      <x:c r="D123" s="39"/>
      <x:c r="E123" s="39"/>
      <x:c r="F123" s="39"/>
      <x:c r="G123" s="39"/>
      <x:c r="H123" s="39"/>
    </x:row>
    <x:row r="124">
      <x:c r="A124" s="39"/>
      <x:c r="B124" s="39"/>
      <x:c r="C124" s="39"/>
      <x:c r="D124" s="39"/>
      <x:c r="E124" s="39"/>
      <x:c r="F124" s="39"/>
      <x:c r="G124" s="39"/>
      <x:c r="H124" s="39"/>
    </x:row>
    <x:row r="125">
      <x:c r="A125" s="39"/>
      <x:c r="B125" s="39"/>
      <x:c r="C125" s="39"/>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x:c r="A128" s="39"/>
      <x:c r="B128" s="39"/>
      <x:c r="C128" s="39"/>
      <x:c r="D128" s="39"/>
      <x:c r="E128" s="39"/>
      <x:c r="F128" s="39"/>
      <x:c r="G128" s="39"/>
      <x:c r="H128" s="39"/>
    </x:row>
    <x:row r="129">
      <x:c r="A129" s="39"/>
      <x:c r="B129" s="39"/>
      <x:c r="C129" s="39"/>
      <x:c r="D129" s="39"/>
      <x:c r="E129" s="39"/>
      <x:c r="F129" s="39"/>
      <x:c r="G129" s="39"/>
      <x:c r="H129" s="39"/>
    </x:row>
    <x:row r="130">
      <x:c r="A130" s="39"/>
      <x:c r="B130" s="39"/>
      <x:c r="C130" s="39"/>
      <x:c r="D130" s="39"/>
      <x:c r="E130" s="39"/>
      <x:c r="F130" s="39"/>
      <x:c r="G130" s="39"/>
      <x:c r="H130" s="39"/>
    </x:row>
    <x:row r="131">
      <x:c r="A131" s="39"/>
      <x:c r="B131" s="39"/>
      <x:c r="C131" s="39"/>
      <x:c r="D131" s="39"/>
      <x:c r="E131" s="39"/>
      <x:c r="F131" s="39"/>
      <x:c r="G131" s="39"/>
      <x:c r="H131" s="39"/>
    </x:row>
    <x:row r="132">
      <x:c r="A132" s="39"/>
      <x:c r="B132" s="39"/>
      <x:c r="C132" s="39"/>
      <x:c r="D132" s="39"/>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x:c r="A135" s="39"/>
      <x:c r="B135" s="39"/>
      <x:c r="C135" s="39"/>
      <x:c r="D135" s="39"/>
      <x:c r="E135" s="39"/>
      <x:c r="F135" s="39"/>
      <x:c r="G135" s="39"/>
      <x:c r="H135" s="39"/>
    </x:row>
    <x:row r="136">
      <x:c r="A136" s="39"/>
      <x:c r="B136" s="39"/>
      <x:c r="C136" s="39"/>
      <x:c r="D136" s="39"/>
      <x:c r="E136" s="39"/>
      <x:c r="F136" s="39"/>
      <x:c r="G136" s="39"/>
      <x:c r="H136" s="39"/>
    </x:row>
    <x:row r="137">
      <x:c r="A137" s="39"/>
      <x:c r="B137" s="39"/>
      <x:c r="C137" s="39"/>
      <x:c r="D137" s="39"/>
      <x:c r="E137" s="39"/>
      <x:c r="F137" s="39"/>
      <x:c r="G137" s="39"/>
      <x:c r="H137" s="39"/>
    </x:row>
    <x:row r="138">
      <x:c r="A138" s="39"/>
      <x:c r="B138" s="39"/>
      <x:c r="C138" s="39"/>
      <x:c r="D138" s="39"/>
      <x:c r="E138" s="39"/>
      <x:c r="F138" s="39"/>
      <x:c r="G138" s="39"/>
      <x:c r="H138" s="39"/>
    </x:row>
    <x:row r="139">
      <x:c r="A139" s="39"/>
      <x:c r="B139" s="39"/>
      <x:c r="C139" s="39"/>
      <x:c r="D139" s="39"/>
      <x:c r="E139" s="39"/>
      <x:c r="F139" s="39"/>
      <x:c r="G139" s="39"/>
      <x:c r="H139" s="39"/>
    </x:row>
    <x:row r="140">
      <x:c r="A140" s="39"/>
      <x:c r="B140" s="39"/>
      <x:c r="C140" s="39"/>
      <x:c r="D140" s="39"/>
      <x:c r="E140" s="39"/>
      <x:c r="F140" s="39"/>
      <x:c r="G140" s="39"/>
      <x:c r="H140" s="39"/>
    </x:row>
    <x:row r="141">
      <x:c r="A141" s="39"/>
      <x:c r="B141" s="39"/>
      <x:c r="C141" s="39"/>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

<file path=xl/worksheets/sheet7.xml><?xml version="1.0" encoding="utf-8"?>
<x:worksheet xmlns:x="http://schemas.openxmlformats.org/spreadsheetml/2006/main">
  <x:sheetViews>
    <x:sheetView showGridLines="1" workbookViewId="0">
      <x:pane ySplit="5" topLeftCell="A6" activePane="bottomLeft" state="frozen"/>
    </x:sheetView>
  </x:sheetViews>
  <x:sheetFormatPr defaultRowHeight="15"/>
  <x:cols>
    <x:col min="1" max="1" width="12" hidden="0" customWidth="1"/>
    <x:col min="2" max="2" width="34" hidden="0" customWidth="1"/>
    <x:col min="3" max="3" width="64" hidden="0" customWidth="1"/>
    <x:col min="4" max="4" width="60" hidden="0" customWidth="1"/>
    <x:col min="5" max="5" width="20" hidden="0" customWidth="1"/>
    <x:col min="6" max="6" width="20" hidden="0" customWidth="1"/>
    <x:col min="7" max="7" width="20" hidden="0" customWidth="1"/>
    <x:col min="8" max="8" width="20" hidden="0" customWidth="1"/>
  </x:cols>
  <x:sheetData>
    <x:row r="1">
      <x:c r="A1" s="39"/>
      <x:c r="B1" s="39"/>
      <x:c r="C1" s="39"/>
      <x:c r="D1" s="39"/>
      <x:c r="E1" s="39"/>
      <x:c r="F1" s="39"/>
      <x:c r="G1" s="39"/>
      <x:c r="H1" s="39"/>
    </x:row>
    <x:row r="2" ht="26" customHeight="1">
      <x:c r="A2" s="40" t="str">
        <x:v>Xưởng — Bộ đánh giá trợ lý đổi trả Mộc</x:v>
      </x:c>
      <x:c r="B2" s="40"/>
      <x:c r="C2" s="40"/>
      <x:c r="D2" s="40"/>
      <x:c r="E2" s="39"/>
      <x:c r="F2" s="39"/>
      <x:c r="G2" s="39"/>
      <x:c r="H2" s="39"/>
    </x:row>
    <x:row r="3">
      <x:c r="A3" s="39" t="str">
        <x:v>Nhóm</x:v>
      </x:c>
      <x:c r="B3" s="39" t="str"/>
      <x:c r="C3" s="39" t="str">
        <x:v>Thành viên</x:v>
      </x:c>
      <x:c r="D3" s="39" t="str">
        <x:v>Lê Duy Bảo; bổ sung thành viên nhóm</x:v>
      </x:c>
      <x:c r="E3" s="39"/>
      <x:c r="F3" s="39"/>
      <x:c r="G3" s="39"/>
      <x:c r="H3" s="39"/>
    </x:row>
    <x:row r="4">
      <x:c r="A4" s="39"/>
      <x:c r="B4" s="39"/>
      <x:c r="C4" s="39"/>
      <x:c r="D4" s="39"/>
      <x:c r="E4" s="39"/>
      <x:c r="F4" s="39"/>
      <x:c r="G4" s="39"/>
      <x:c r="H4" s="39"/>
    </x:row>
    <x:row r="5" ht="28" customHeight="1">
      <x:c r="A5" s="40" t="str">
        <x:v>X1 — Đơn vị công việc AI</x:v>
      </x:c>
      <x:c r="B5" s="40"/>
      <x:c r="C5" s="40"/>
      <x:c r="D5" s="40"/>
      <x:c r="E5" s="39"/>
      <x:c r="F5" s="39"/>
      <x:c r="G5" s="39"/>
      <x:c r="H5" s="39"/>
    </x:row>
    <x:row r="6">
      <x:c r="A6" s="39"/>
      <x:c r="B6" s="39"/>
      <x:c r="C6" s="39"/>
      <x:c r="D6" s="39"/>
      <x:c r="E6" s="39"/>
      <x:c r="F6" s="39"/>
      <x:c r="G6" s="39"/>
      <x:c r="H6" s="39"/>
    </x:row>
    <x:row r="7" ht="34" customHeight="1">
      <x:c r="A7" s="41" t="str">
        <x:v>Mục</x:v>
      </x:c>
      <x:c r="B7" s="41" t="str">
        <x:v>Nội dung</x:v>
      </x:c>
      <x:c r="C7" s="41" t="str">
        <x:v>Bài làm</x:v>
      </x:c>
      <x:c r="D7" s="41" t="str">
        <x:v>Căn cứ</x:v>
      </x:c>
      <x:c r="E7" s="39"/>
      <x:c r="F7" s="39"/>
      <x:c r="G7" s="39"/>
      <x:c r="H7" s="39"/>
    </x:row>
    <x:row r="8" ht="110" customHeight="1">
      <x:c r="A8" s="42" t="str">
        <x:v>X1</x:v>
      </x:c>
      <x:c r="B8" s="42" t="str">
        <x:v>Soạn câu trả lời đổi trả</x:v>
      </x:c>
      <x:c r="C8" s="42" t="str">
        <x:v>Đọc 1 tin nhắn đổi/trả cùng lịch sử và kết quả tra cứu đơn → xuất 1 nhãn ý định hợp lệ, câu trả lời và bước tiếp theo kiểm được trong dưới 2 giây; chỉ xác nhận sau tra cứu, áp dụng mốc 7/30 ngày, hoàn tiền 3–5 ngày làm việc sau khi kho nhận; chuyển nhân viên khi hàng lỗi/khách yêu cầu gặp người, không tự hứa đền bù.</x:v>
      </x:c>
      <x:c r="D8" s="42" t="str">
        <x:v>CS-1 đến CS-6. Ràng buộc thời gian là mục tiêu nhóm chọn, chưa phải kết quả đã đo.</x:v>
      </x:c>
      <x:c r="E8" s="39"/>
      <x:c r="F8" s="39"/>
      <x:c r="G8" s="39"/>
      <x:c r="H8" s="39"/>
    </x:row>
    <x:row r="9">
      <x:c r="A9" s="39"/>
      <x:c r="B9" s="39"/>
      <x:c r="C9" s="39"/>
      <x:c r="D9" s="39"/>
      <x:c r="E9" s="39"/>
      <x:c r="F9" s="39"/>
      <x:c r="G9" s="39"/>
      <x:c r="H9" s="39"/>
    </x:row>
    <x:row r="10">
      <x:c r="A10" s="39"/>
      <x:c r="B10" s="39"/>
      <x:c r="C10" s="39"/>
      <x:c r="D10" s="39"/>
      <x:c r="E10" s="39"/>
      <x:c r="F10" s="39"/>
      <x:c r="G10" s="39"/>
      <x:c r="H10" s="39"/>
    </x:row>
    <x:row r="11" ht="28" customHeight="1">
      <x:c r="A11" s="40" t="str">
        <x:v>X2 — Ba chiều và phễu đầu vào</x:v>
      </x:c>
      <x:c r="B11" s="40"/>
      <x:c r="C11" s="40"/>
      <x:c r="D11" s="40"/>
      <x:c r="E11" s="39"/>
      <x:c r="F11" s="39"/>
      <x:c r="G11" s="39"/>
      <x:c r="H11" s="39"/>
    </x:row>
    <x:row r="12">
      <x:c r="A12" s="39"/>
      <x:c r="B12" s="39"/>
      <x:c r="C12" s="39"/>
      <x:c r="D12" s="39"/>
      <x:c r="E12" s="39"/>
      <x:c r="F12" s="39"/>
      <x:c r="G12" s="39"/>
      <x:c r="H12" s="39"/>
    </x:row>
    <x:row r="13" ht="34" customHeight="1">
      <x:c r="A13" s="41" t="str">
        <x:v>Chiều</x:v>
      </x:c>
      <x:c r="B13" s="41" t="str">
        <x:v>Giá trị</x:v>
      </x:c>
      <x:c r="C13" s="41" t="str">
        <x:v>Vì sao hành vi đúng đổi?</x:v>
      </x:c>
      <x:c r="D13" s="41" t="str">
        <x:v>Số giá trị</x:v>
      </x:c>
      <x:c r="E13" s="39"/>
      <x:c r="F13" s="39"/>
      <x:c r="G13" s="39"/>
      <x:c r="H13" s="39"/>
    </x:row>
    <x:row r="14" ht="42" customHeight="1">
      <x:c r="A14" s="42" t="str">
        <x:v>Yêu cầu</x:v>
      </x:c>
      <x:c r="B14" s="42" t="str">
        <x:v>Đổi size; đổi màu; trả không lỗi; khiếu nại hàng lỗi</x:v>
      </x:c>
      <x:c r="C14" s="42" t="str">
        <x:v>Đổi: xác nhận size/màu và tem mác; trả: nêu điều kiện hoàn tiền; hàng lỗi: chuyển nhân viên.</x:v>
      </x:c>
      <x:c r="D14" s="42" t="n">
        <x:v>4</x:v>
      </x:c>
      <x:c r="E14" s="39"/>
      <x:c r="F14" s="39"/>
      <x:c r="G14" s="39"/>
      <x:c r="H14" s="39"/>
    </x:row>
    <x:row r="15" ht="42" customHeight="1">
      <x:c r="A15" s="42" t="str">
        <x:v>Định danh</x:v>
      </x:c>
      <x:c r="B15" s="42" t="str">
        <x:v>Đã xác định duy nhất đơn; chưa xác định duy nhất đơn</x:v>
      </x:c>
      <x:c r="C15" s="42" t="str">
        <x:v>Chưa định danh: hỏi mã/SĐT hoặc làm rõ giữa nhiều đơn; không tự tạo yêu cầu.</x:v>
      </x:c>
      <x:c r="D15" s="42" t="n">
        <x:v>2</x:v>
      </x:c>
      <x:c r="E15" s="39"/>
      <x:c r="F15" s="39"/>
      <x:c r="G15" s="39"/>
      <x:c r="H15" s="39"/>
    </x:row>
    <x:row r="16" ht="42" customHeight="1">
      <x:c r="A16" s="42" t="str">
        <x:v>Thời gian nhận</x:v>
      </x:c>
      <x:c r="B16" s="42" t="str">
        <x:v>≤7 ngày; 8–30 ngày; &gt;30 ngày</x:v>
      </x:c>
      <x:c r="C16" s="42" t="str">
        <x:v>Đổi/trả thường chỉ trong 7 ngày; hàng lỗi trong 30 ngày chuyển nhân viên; quá 30 ngày không tự cam kết ngoại lệ.</x:v>
      </x:c>
      <x:c r="D16" s="42" t="n">
        <x:v>3</x:v>
      </x:c>
      <x:c r="E16" s="39"/>
      <x:c r="F16" s="39"/>
      <x:c r="G16" s="39"/>
      <x:c r="H16" s="39"/>
    </x:row>
    <x:row r="17">
      <x:c r="A17" s="39"/>
      <x:c r="B17" s="39"/>
      <x:c r="C17" s="39"/>
      <x:c r="D17" s="39"/>
      <x:c r="E17" s="39"/>
      <x:c r="F17" s="39"/>
      <x:c r="G17" s="39"/>
      <x:c r="H17" s="39"/>
    </x:row>
    <x:row r="18">
      <x:c r="A18" s="39"/>
      <x:c r="B18" s="39"/>
      <x:c r="C18" s="39"/>
      <x:c r="D18" s="39"/>
      <x:c r="E18" s="39"/>
      <x:c r="F18" s="39"/>
      <x:c r="G18" s="39"/>
      <x:c r="H18" s="39"/>
    </x:row>
    <x:row r="19" ht="34" customHeight="1">
      <x:c r="A19" s="41" t="str">
        <x:v>Mục</x:v>
      </x:c>
      <x:c r="B19" s="41" t="str">
        <x:v>Số lượng</x:v>
      </x:c>
      <x:c r="C19" s="41" t="str">
        <x:v>Giải thích</x:v>
      </x:c>
      <x:c r="D19" s="39"/>
      <x:c r="E19" s="39"/>
      <x:c r="F19" s="39"/>
      <x:c r="G19" s="39"/>
      <x:c r="H19" s="39"/>
    </x:row>
    <x:row r="20" ht="42" customHeight="1">
      <x:c r="A20" s="42" t="str">
        <x:v>Tổ hợp thô</x:v>
      </x:c>
      <x:c r="B20" s="42" t="n">
        <x:f>4*2*3</x:f>
        <x:v>24</x:v>
      </x:c>
      <x:c r="C20" s="42" t="str">
        <x:v>4 × 2 × 3. Thiếu mã vẫn có thể được khách nêu ngày nhận, nhưng cần tra cứu để xác minh.</x:v>
      </x:c>
      <x:c r="D20" s="39"/>
      <x:c r="E20" s="39"/>
      <x:c r="F20" s="39"/>
      <x:c r="G20" s="39"/>
      <x:c r="H20" s="39"/>
    </x:row>
    <x:row r="21" ht="42" customHeight="1">
      <x:c r="A21" s="42" t="str">
        <x:v>Tổ hợp phi lý loại</x:v>
      </x:c>
      <x:c r="B21" s="42" t="n">
        <x:v>0</x:v>
      </x:c>
      <x:c r="C21" s="42" t="str">
        <x:v>Cả 24 tổ hợp đều có thể xảy ra.</x:v>
      </x:c>
      <x:c r="D21" s="39"/>
      <x:c r="E21" s="39"/>
      <x:c r="F21" s="39"/>
      <x:c r="G21" s="39"/>
      <x:c r="H21" s="39"/>
    </x:row>
    <x:row r="22" ht="42" customHeight="1">
      <x:c r="A22" s="42" t="str">
        <x:v>Tổ hợp hợp lệ</x:v>
      </x:c>
      <x:c r="B22" s="42" t="n">
        <x:f>B20-B21</x:f>
        <x:v>24</x:v>
      </x:c>
      <x:c r="C22" s="42" t="str">
        <x:v>Tổ hợp thô trừ phi lý.</x:v>
      </x:c>
      <x:c r="D22" s="39"/>
      <x:c r="E22" s="39"/>
      <x:c r="F22" s="39"/>
      <x:c r="G22" s="39"/>
      <x:c r="H22" s="39"/>
    </x:row>
    <x:row r="23" ht="42" customHeight="1">
      <x:c r="A23" s="42" t="str">
        <x:v>Tình huống chọn</x:v>
      </x:c>
      <x:c r="B23" s="42" t="n">
        <x:v>16</x:v>
      </x:c>
      <x:c r="C23" s="42" t="str">
        <x:v>12 ca định danh rõ (4 yêu cầu × 3 khoảng ngày) + 4 ca chưa định danh (mỗi yêu cầu một ca, ≤7 ngày).</x:v>
      </x:c>
      <x:c r="D23" s="39"/>
      <x:c r="E23" s="39"/>
      <x:c r="F23" s="39"/>
      <x:c r="G23" s="39"/>
      <x:c r="H23" s="39"/>
    </x:row>
    <x:row r="24" ht="42" customHeight="1">
      <x:c r="A24" s="42" t="str">
        <x:v>Cách diễn đạt/ca</x:v>
      </x:c>
      <x:c r="B24" s="42" t="n">
        <x:v>3</x:v>
      </x:c>
      <x:c r="C24" s="42" t="str">
        <x:v>Đủ dấu; không dấu; diễn đạt gián tiếp nhưng giữ nguyên nghĩa.</x:v>
      </x:c>
      <x:c r="D24" s="39"/>
      <x:c r="E24" s="39"/>
      <x:c r="F24" s="39"/>
      <x:c r="G24" s="39"/>
      <x:c r="H24" s="39"/>
    </x:row>
    <x:row r="25" ht="42" customHeight="1">
      <x:c r="A25" s="42" t="str">
        <x:v>Tổng đầu vào</x:v>
      </x:c>
      <x:c r="B25" s="42" t="n">
        <x:f>B23*B24</x:f>
        <x:v>48</x:v>
      </x:c>
      <x:c r="C25" s="42" t="str">
        <x:v>Mỗi cách diễn đạt là một đầu vào. Cần đạt khoảng 40–50 theo rubric.</x:v>
      </x:c>
      <x:c r="D25" s="39"/>
      <x:c r="E25" s="39"/>
      <x:c r="F25" s="39"/>
      <x:c r="G25" s="39"/>
      <x:c r="H25" s="39"/>
    </x:row>
    <x:row r="26">
      <x:c r="A26" s="39"/>
      <x:c r="B26" s="39"/>
      <x:c r="C26" s="39"/>
      <x:c r="D26" s="39"/>
      <x:c r="E26" s="39"/>
      <x:c r="F26" s="39"/>
      <x:c r="G26" s="39"/>
      <x:c r="H26" s="39"/>
    </x:row>
    <x:row r="27">
      <x:c r="A27" s="39"/>
      <x:c r="B27" s="39"/>
      <x:c r="C27" s="39"/>
      <x:c r="D27" s="39"/>
      <x:c r="E27" s="39"/>
      <x:c r="F27" s="39"/>
      <x:c r="G27" s="39"/>
      <x:c r="H27" s="39"/>
    </x:row>
    <x:row r="28" ht="34" customHeight="1">
      <x:c r="A28" s="41" t="str">
        <x:v>Ô chọn</x:v>
      </x:c>
      <x:c r="B28" s="41" t="str">
        <x:v>Yêu cầu</x:v>
      </x:c>
      <x:c r="C28" s="41" t="str">
        <x:v>Thông tin đơn</x:v>
      </x:c>
      <x:c r="D28" s="41" t="str">
        <x:v>Thời gian</x:v>
      </x:c>
      <x:c r="E28" s="39"/>
      <x:c r="F28" s="39"/>
      <x:c r="G28" s="39"/>
      <x:c r="H28" s="39"/>
    </x:row>
    <x:row r="29" ht="31" customHeight="1">
      <x:c r="A29" s="42" t="str">
        <x:v>G1</x:v>
      </x:c>
      <x:c r="B29" s="42" t="str">
        <x:v>Đổi size</x:v>
      </x:c>
      <x:c r="C29" s="42" t="str">
        <x:v>Định danh rõ</x:v>
      </x:c>
      <x:c r="D29" s="42" t="str">
        <x:v>≤7 ngày</x:v>
      </x:c>
      <x:c r="E29" s="39"/>
      <x:c r="F29" s="39"/>
      <x:c r="G29" s="39"/>
      <x:c r="H29" s="39"/>
    </x:row>
    <x:row r="30" ht="31" customHeight="1">
      <x:c r="A30" s="42" t="str">
        <x:v>G2</x:v>
      </x:c>
      <x:c r="B30" s="42" t="str">
        <x:v>Đổi size</x:v>
      </x:c>
      <x:c r="C30" s="42" t="str">
        <x:v>Định danh rõ</x:v>
      </x:c>
      <x:c r="D30" s="42" t="str">
        <x:v>8–30 ngày</x:v>
      </x:c>
      <x:c r="E30" s="39"/>
      <x:c r="F30" s="39"/>
      <x:c r="G30" s="39"/>
      <x:c r="H30" s="39"/>
    </x:row>
    <x:row r="31" ht="31" customHeight="1">
      <x:c r="A31" s="42" t="str">
        <x:v>G3</x:v>
      </x:c>
      <x:c r="B31" s="42" t="str">
        <x:v>Đổi size</x:v>
      </x:c>
      <x:c r="C31" s="42" t="str">
        <x:v>Định danh rõ</x:v>
      </x:c>
      <x:c r="D31" s="42" t="str">
        <x:v>&gt;30 ngày</x:v>
      </x:c>
      <x:c r="E31" s="39"/>
      <x:c r="F31" s="39"/>
      <x:c r="G31" s="39"/>
      <x:c r="H31" s="39"/>
    </x:row>
    <x:row r="32" ht="31" customHeight="1">
      <x:c r="A32" s="42" t="str">
        <x:v>G4</x:v>
      </x:c>
      <x:c r="B32" s="42" t="str">
        <x:v>Đổi màu</x:v>
      </x:c>
      <x:c r="C32" s="42" t="str">
        <x:v>Định danh rõ</x:v>
      </x:c>
      <x:c r="D32" s="42" t="str">
        <x:v>≤7 ngày</x:v>
      </x:c>
      <x:c r="E32" s="39"/>
      <x:c r="F32" s="39"/>
      <x:c r="G32" s="39"/>
      <x:c r="H32" s="39"/>
    </x:row>
    <x:row r="33" ht="31" customHeight="1">
      <x:c r="A33" s="42" t="str">
        <x:v>G5</x:v>
      </x:c>
      <x:c r="B33" s="42" t="str">
        <x:v>Đổi màu</x:v>
      </x:c>
      <x:c r="C33" s="42" t="str">
        <x:v>Định danh rõ</x:v>
      </x:c>
      <x:c r="D33" s="42" t="str">
        <x:v>8–30 ngày</x:v>
      </x:c>
      <x:c r="E33" s="39"/>
      <x:c r="F33" s="39"/>
      <x:c r="G33" s="39"/>
      <x:c r="H33" s="39"/>
    </x:row>
    <x:row r="34" ht="31" customHeight="1">
      <x:c r="A34" s="42" t="str">
        <x:v>G6</x:v>
      </x:c>
      <x:c r="B34" s="42" t="str">
        <x:v>Đổi màu</x:v>
      </x:c>
      <x:c r="C34" s="42" t="str">
        <x:v>Định danh rõ</x:v>
      </x:c>
      <x:c r="D34" s="42" t="str">
        <x:v>&gt;30 ngày</x:v>
      </x:c>
      <x:c r="E34" s="39"/>
      <x:c r="F34" s="39"/>
      <x:c r="G34" s="39"/>
      <x:c r="H34" s="39"/>
    </x:row>
    <x:row r="35" ht="31" customHeight="1">
      <x:c r="A35" s="42" t="str">
        <x:v>G7</x:v>
      </x:c>
      <x:c r="B35" s="42" t="str">
        <x:v>Trả không lỗi</x:v>
      </x:c>
      <x:c r="C35" s="42" t="str">
        <x:v>Định danh rõ</x:v>
      </x:c>
      <x:c r="D35" s="42" t="str">
        <x:v>≤7 ngày</x:v>
      </x:c>
      <x:c r="E35" s="39"/>
      <x:c r="F35" s="39"/>
      <x:c r="G35" s="39"/>
      <x:c r="H35" s="39"/>
    </x:row>
    <x:row r="36" ht="31" customHeight="1">
      <x:c r="A36" s="42" t="str">
        <x:v>G8</x:v>
      </x:c>
      <x:c r="B36" s="42" t="str">
        <x:v>Trả không lỗi</x:v>
      </x:c>
      <x:c r="C36" s="42" t="str">
        <x:v>Định danh rõ</x:v>
      </x:c>
      <x:c r="D36" s="42" t="str">
        <x:v>8–30 ngày</x:v>
      </x:c>
      <x:c r="E36" s="39"/>
      <x:c r="F36" s="39"/>
      <x:c r="G36" s="39"/>
      <x:c r="H36" s="39"/>
    </x:row>
    <x:row r="37" ht="31" customHeight="1">
      <x:c r="A37" s="42" t="str">
        <x:v>G9</x:v>
      </x:c>
      <x:c r="B37" s="42" t="str">
        <x:v>Trả không lỗi</x:v>
      </x:c>
      <x:c r="C37" s="42" t="str">
        <x:v>Định danh rõ</x:v>
      </x:c>
      <x:c r="D37" s="42" t="str">
        <x:v>&gt;30 ngày</x:v>
      </x:c>
      <x:c r="E37" s="39"/>
      <x:c r="F37" s="39"/>
      <x:c r="G37" s="39"/>
      <x:c r="H37" s="39"/>
    </x:row>
    <x:row r="38" ht="31" customHeight="1">
      <x:c r="A38" s="42" t="str">
        <x:v>G10</x:v>
      </x:c>
      <x:c r="B38" s="42" t="str">
        <x:v>Hàng lỗi</x:v>
      </x:c>
      <x:c r="C38" s="42" t="str">
        <x:v>Định danh rõ</x:v>
      </x:c>
      <x:c r="D38" s="42" t="str">
        <x:v>≤7 ngày</x:v>
      </x:c>
      <x:c r="E38" s="39"/>
      <x:c r="F38" s="39"/>
      <x:c r="G38" s="39"/>
      <x:c r="H38" s="39"/>
    </x:row>
    <x:row r="39" ht="31" customHeight="1">
      <x:c r="A39" s="42" t="str">
        <x:v>G11</x:v>
      </x:c>
      <x:c r="B39" s="42" t="str">
        <x:v>Hàng lỗi</x:v>
      </x:c>
      <x:c r="C39" s="42" t="str">
        <x:v>Định danh rõ</x:v>
      </x:c>
      <x:c r="D39" s="42" t="str">
        <x:v>8–30 ngày</x:v>
      </x:c>
      <x:c r="E39" s="39"/>
      <x:c r="F39" s="39"/>
      <x:c r="G39" s="39"/>
      <x:c r="H39" s="39"/>
    </x:row>
    <x:row r="40" ht="31" customHeight="1">
      <x:c r="A40" s="42" t="str">
        <x:v>G12</x:v>
      </x:c>
      <x:c r="B40" s="42" t="str">
        <x:v>Hàng lỗi</x:v>
      </x:c>
      <x:c r="C40" s="42" t="str">
        <x:v>Định danh rõ</x:v>
      </x:c>
      <x:c r="D40" s="42" t="str">
        <x:v>&gt;30 ngày</x:v>
      </x:c>
      <x:c r="E40" s="39"/>
      <x:c r="F40" s="39"/>
      <x:c r="G40" s="39"/>
      <x:c r="H40" s="39"/>
    </x:row>
    <x:row r="41" ht="31" customHeight="1">
      <x:c r="A41" s="42" t="str">
        <x:v>G13</x:v>
      </x:c>
      <x:c r="B41" s="42" t="str">
        <x:v>Đổi size</x:v>
      </x:c>
      <x:c r="C41" s="42" t="str">
        <x:v>Chưa định danh</x:v>
      </x:c>
      <x:c r="D41" s="42" t="str">
        <x:v>≤7 ngày</x:v>
      </x:c>
      <x:c r="E41" s="39"/>
      <x:c r="F41" s="39"/>
      <x:c r="G41" s="39"/>
      <x:c r="H41" s="39"/>
    </x:row>
    <x:row r="42" ht="31" customHeight="1">
      <x:c r="A42" s="42" t="str">
        <x:v>G14</x:v>
      </x:c>
      <x:c r="B42" s="42" t="str">
        <x:v>Đổi màu</x:v>
      </x:c>
      <x:c r="C42" s="42" t="str">
        <x:v>Chưa định danh</x:v>
      </x:c>
      <x:c r="D42" s="42" t="str">
        <x:v>≤7 ngày</x:v>
      </x:c>
      <x:c r="E42" s="39"/>
      <x:c r="F42" s="39"/>
      <x:c r="G42" s="39"/>
      <x:c r="H42" s="39"/>
    </x:row>
    <x:row r="43" ht="31" customHeight="1">
      <x:c r="A43" s="42" t="str">
        <x:v>G15</x:v>
      </x:c>
      <x:c r="B43" s="42" t="str">
        <x:v>Trả không lỗi</x:v>
      </x:c>
      <x:c r="C43" s="42" t="str">
        <x:v>Chưa định danh</x:v>
      </x:c>
      <x:c r="D43" s="42" t="str">
        <x:v>≤7 ngày</x:v>
      </x:c>
      <x:c r="E43" s="39"/>
      <x:c r="F43" s="39"/>
      <x:c r="G43" s="39"/>
      <x:c r="H43" s="39"/>
    </x:row>
    <x:row r="44" ht="31" customHeight="1">
      <x:c r="A44" s="42" t="str">
        <x:v>G16</x:v>
      </x:c>
      <x:c r="B44" s="42" t="str">
        <x:v>Hàng lỗi</x:v>
      </x:c>
      <x:c r="C44" s="42" t="str">
        <x:v>Chưa định danh</x:v>
      </x:c>
      <x:c r="D44" s="42" t="str">
        <x:v>≤7 ngày</x:v>
      </x:c>
      <x:c r="E44" s="39"/>
      <x:c r="F44" s="39"/>
      <x:c r="G44" s="39"/>
      <x:c r="H44" s="39"/>
    </x:row>
    <x:row r="45">
      <x:c r="A45" s="39"/>
      <x:c r="B45" s="39"/>
      <x:c r="C45" s="39"/>
      <x:c r="D45" s="39"/>
      <x:c r="E45" s="39"/>
      <x:c r="F45" s="39"/>
      <x:c r="G45" s="39"/>
      <x:c r="H45" s="39"/>
    </x:row>
    <x:row r="46">
      <x:c r="A46" s="39"/>
      <x:c r="B46" s="39"/>
      <x:c r="C46" s="39"/>
      <x:c r="D46" s="39"/>
      <x:c r="E46" s="39"/>
      <x:c r="F46" s="39"/>
      <x:c r="G46" s="39"/>
      <x:c r="H46" s="39"/>
    </x:row>
    <x:row r="47" ht="28" customHeight="1">
      <x:c r="A47" s="40" t="str">
        <x:v>X3 — Tám tình huống kiểm thử</x:v>
      </x:c>
      <x:c r="B47" s="40"/>
      <x:c r="C47" s="40"/>
      <x:c r="D47" s="40"/>
      <x:c r="E47" s="39"/>
      <x:c r="F47" s="39"/>
      <x:c r="G47" s="39"/>
      <x:c r="H47" s="39"/>
    </x:row>
    <x:row r="48">
      <x:c r="A48" s="39"/>
      <x:c r="B48" s="39"/>
      <x:c r="C48" s="39"/>
      <x:c r="D48" s="39"/>
      <x:c r="E48" s="39"/>
      <x:c r="F48" s="39"/>
      <x:c r="G48" s="39"/>
      <x:c r="H48" s="39"/>
    </x:row>
    <x:row r="49" ht="34" customHeight="1">
      <x:c r="A49" s="41" t="str">
        <x:v>Ca</x:v>
      </x:c>
      <x:c r="B49" s="41" t="str">
        <x:v>Loại</x:v>
      </x:c>
      <x:c r="C49" s="41" t="str">
        <x:v>Tin nhắn/điều kiện kiểm thử</x:v>
      </x:c>
      <x:c r="D49" s="41" t="str">
        <x:v>Hành vi đúng và chính sách</x:v>
      </x:c>
      <x:c r="E49" s="39"/>
      <x:c r="F49" s="39"/>
      <x:c r="G49" s="39"/>
      <x:c r="H49" s="39"/>
    </x:row>
    <x:row r="50" ht="76" customHeight="1">
      <x:c r="A50" s="42" t="str">
        <x:v>S1</x:v>
      </x:c>
      <x:c r="B50" s="42" t="str">
        <x:v>Đại diện</x:v>
      </x:c>
      <x:c r="C50" s="42" t="str">
        <x:v>“Đơn MS-1043 nhận hôm qua, áo còn tem, đổi M sang L giúp mình.”</x:v>
      </x:c>
      <x:c r="D50" s="42" t="str">
        <x:v>Tra cứu MS-1043; xác minh ngày nhận/trạng thái và tem mác; ghi nhận đổi size L, miễn phí đổi lần đầu, hướng dẫn/tạo yêu cầu theo dữ kiện đủ. Không hứa size L còn hàng. CS-1, CS-4.</x:v>
      </x:c>
      <x:c r="E50" s="39"/>
      <x:c r="F50" s="39"/>
      <x:c r="G50" s="39"/>
      <x:c r="H50" s="39"/>
    </x:row>
    <x:row r="51" ht="59" customHeight="1">
      <x:c r="A51" s="42" t="str">
        <x:v>S2</x:v>
      </x:c>
      <x:c r="B51" s="42" t="str">
        <x:v>Đại diện</x:v>
      </x:c>
      <x:c r="C51" s="42" t="str">
        <x:v>“MS-1201 nhận 3 ngày trước, chưa trả về kho, mình muốn trả giày và hoàn tiền.”</x:v>
      </x:c>
      <x:c r="D51" s="42" t="str">
        <x:v>Tra cứu; nếu đủ điều kiện trả thì tạo/hướng dẫn yêu cầu trả. Nêu tiền hoàn trong 3–5 ngày làm việc sau khi kho nhận lại hàng. Không nói tiền đã hoàn. CS-2, CS-4.</x:v>
      </x:c>
      <x:c r="E51" s="39"/>
      <x:c r="F51" s="39"/>
      <x:c r="G51" s="39"/>
      <x:c r="H51" s="39"/>
    </x:row>
    <x:row r="52" ht="42" customHeight="1">
      <x:c r="A52" s="42" t="str">
        <x:v>S3</x:v>
      </x:c>
      <x:c r="B52" s="42" t="str">
        <x:v>Thử thách</x:v>
      </x:c>
      <x:c r="C52" s="42" t="str">
        <x:v>“Cái đơn hôm bữa, thôi không lấy nữa.”</x:v>
      </x:c>
      <x:c r="D52" s="42" t="str">
        <x:v>Hỏi muốn hủy hay trả, yêu cầu mã/SĐT; chưa xác định đơn thì không chọn đại hoặc tạo yêu cầu. CS-5, CS-4.</x:v>
      </x:c>
      <x:c r="E52" s="39"/>
      <x:c r="F52" s="39"/>
      <x:c r="G52" s="39"/>
      <x:c r="H52" s="39"/>
    </x:row>
    <x:row r="53" ht="59" customHeight="1">
      <x:c r="A53" s="42" t="str">
        <x:v>S4</x:v>
      </x:c>
      <x:c r="B53" s="42" t="str">
        <x:v>Thử thách</x:v>
      </x:c>
      <x:c r="C53" s="42" t="str">
        <x:v>“MS-1301 nhận 2 ngày muốn đổi size; MS-1302 nhận 10 ngày, không lỗi, muốn trả lấy tiền.”</x:v>
      </x:c>
      <x:c r="D53" s="42" t="str">
        <x:v>Tách hai đơn, tra cứu từng mã. Đơn 1301: kiểm tra tem/size để đổi; đơn 1302: quá 7 ngày nên không hứa trả/hoàn theo chính sách thông thường. CS-1, CS-2, CS-4.</x:v>
      </x:c>
      <x:c r="E53" s="39"/>
      <x:c r="F53" s="39"/>
      <x:c r="G53" s="39"/>
      <x:c r="H53" s="39"/>
    </x:row>
    <x:row r="54" ht="59" customHeight="1">
      <x:c r="A54" s="42" t="str">
        <x:v>S5</x:v>
      </x:c>
      <x:c r="B54" s="42" t="str">
        <x:v>Thử thách</x:v>
      </x:c>
      <x:c r="C54" s="42" t="str">
        <x:v>“MS-0990 nhận 20 ngày, đế giày bong rồi, cho mình gặp người phụ trách.”</x:v>
      </x:c>
      <x:c r="D54" s="42" t="str">
        <x:v>Gắn Trả hàng, cờ hàng lỗi có; tra cứu, chuyển nhân viên kèm lý do. Không dùng mốc 7 ngày để từ chối hàng lỗi và không tự hứa đền bù. CS-3, CS-4, CS-6.</x:v>
      </x:c>
      <x:c r="E54" s="39"/>
      <x:c r="F54" s="39"/>
      <x:c r="G54" s="39"/>
      <x:c r="H54" s="39"/>
    </x:row>
    <x:row r="55" ht="59" customHeight="1">
      <x:c r="A55" s="42" t="str">
        <x:v>S6</x:v>
      </x:c>
      <x:c r="B55" s="42" t="str">
        <x:v>Hồi quy nghiêm trọng</x:v>
      </x:c>
      <x:c r="C55" s="42" t="str">
        <x:v>“MS-0871 nhận 20 ngày, hàng không lỗi, trả lấy tiền được không?”</x:v>
      </x:c>
      <x:c r="D55" s="42" t="str">
        <x:v>Tra cứu và không hứa hoàn tiền cho trả thường đã quá 7 ngày. Đây là kiểu lỗi hứa sai đã được đề ghi nhận ở câu 2.13. CS-2, CS-4.</x:v>
      </x:c>
      <x:c r="E55" s="39"/>
      <x:c r="F55" s="39"/>
      <x:c r="G55" s="39"/>
      <x:c r="H55" s="39"/>
    </x:row>
    <x:row r="56" ht="42" customHeight="1">
      <x:c r="A56" s="42" t="str">
        <x:v>S7</x:v>
      </x:c>
      <x:c r="B56" s="42" t="str">
        <x:v>Thử thách</x:v>
      </x:c>
      <x:c r="C56" s="42" t="str">
        <x:v>“Hôm qua mình đặt hai đơn, muốn đổi áo, không nhớ mã.” Tra cứu bằng SĐT trả về hai đơn.</x:v>
      </x:c>
      <x:c r="D56" s="42" t="str">
        <x:v>Hỏi thêm thông tin để khách xác nhận đúng đơn áo. Không tự chọn đơn gần nhất rồi tạo yêu cầu. CS-5, CS-4.</x:v>
      </x:c>
      <x:c r="E56" s="39"/>
      <x:c r="F56" s="39"/>
      <x:c r="G56" s="39"/>
      <x:c r="H56" s="39"/>
    </x:row>
    <x:row r="57" ht="59" customHeight="1">
      <x:c r="A57" s="42" t="str">
        <x:v>S8</x:v>
      </x:c>
      <x:c r="B57" s="42" t="str">
        <x:v>Đại diện</x:v>
      </x:c>
      <x:c r="C57" s="42" t="str">
        <x:v>“Mình muốn trả đơn MS-1401, nhận 2 ngày trước. Cho mình gặp nhân viên.”</x:v>
      </x:c>
      <x:c r="D57" s="42" t="str">
        <x:v>Tra cứu nếu cần xác minh, gọi chuyen_nhan_vien với mã và lý do khách yêu cầu. Không buộc khách tiếp tục tự phục vụ. CS-4, CS-6.</x:v>
      </x:c>
      <x:c r="E57" s="39"/>
      <x:c r="F57" s="39"/>
      <x:c r="G57" s="39"/>
      <x:c r="H57" s="39"/>
    </x:row>
    <x:row r="58">
      <x:c r="A58" s="39"/>
      <x:c r="B58" s="39"/>
      <x:c r="C58" s="39"/>
      <x:c r="D58" s="39"/>
      <x:c r="E58" s="39"/>
      <x:c r="F58" s="39"/>
      <x:c r="G58" s="39"/>
      <x:c r="H58" s="39"/>
    </x:row>
    <x:row r="59">
      <x:c r="A59" s="39"/>
      <x:c r="B59" s="39"/>
      <x:c r="C59" s="39"/>
      <x:c r="D59" s="39"/>
      <x:c r="E59" s="39"/>
      <x:c r="F59" s="39"/>
      <x:c r="G59" s="39"/>
      <x:c r="H59" s="39"/>
    </x:row>
    <x:row r="60" ht="28" customHeight="1">
      <x:c r="A60" s="40" t="str">
        <x:v>X4 — Bước sai đầu tiên và lỗi gốc</x:v>
      </x:c>
      <x:c r="B60" s="40"/>
      <x:c r="C60" s="40"/>
      <x:c r="D60" s="40"/>
      <x:c r="E60" s="39"/>
      <x:c r="F60" s="39"/>
      <x:c r="G60" s="39"/>
      <x:c r="H60" s="39"/>
    </x:row>
    <x:row r="61">
      <x:c r="A61" s="39"/>
      <x:c r="B61" s="39"/>
      <x:c r="C61" s="39"/>
      <x:c r="D61" s="39"/>
      <x:c r="E61" s="39"/>
      <x:c r="F61" s="39"/>
      <x:c r="G61" s="39"/>
      <x:c r="H61" s="39"/>
    </x:row>
    <x:row r="62" ht="34" customHeight="1">
      <x:c r="A62" s="41" t="str">
        <x:v>Vết</x:v>
      </x:c>
      <x:c r="B62" s="41" t="str">
        <x:v>Bước sai</x:v>
      </x:c>
      <x:c r="C62" s="41" t="str">
        <x:v>Mã lỗi gốc</x:v>
      </x:c>
      <x:c r="D62" s="41" t="str">
        <x:v>Nên sửa ở đâu</x:v>
      </x:c>
      <x:c r="E62" s="39"/>
      <x:c r="F62" s="39"/>
      <x:c r="G62" s="39"/>
      <x:c r="H62" s="39"/>
    </x:row>
    <x:row r="63" ht="42" customHeight="1">
      <x:c r="A63" s="42" t="str">
        <x:v>W1</x:v>
      </x:c>
      <x:c r="B63" s="42" t="n">
        <x:v>3</x:v>
      </x:c>
      <x:c r="C63" s="42" t="str">
        <x:v>missing_lookup</x:v>
      </x:c>
      <x:c r="D63" s="42" t="str">
        <x:v>Bắt buộc tra_cuu_don và kiểm tra điều kiện trước tao_yeu_cau_doi_tra. Thêm kiểm soát thứ tự công cụ.</x:v>
      </x:c>
      <x:c r="E63" s="39"/>
      <x:c r="F63" s="39"/>
      <x:c r="G63" s="39"/>
      <x:c r="H63" s="39"/>
    </x:row>
    <x:row r="64" ht="59" customHeight="1">
      <x:c r="A64" s="42" t="str">
        <x:v>W2</x:v>
      </x:c>
      <x:c r="B64" s="42" t="n">
        <x:v>2</x:v>
      </x:c>
      <x:c r="C64" s="42" t="str">
        <x:v>wrong_intent</x:v>
      </x:c>
      <x:c r="D64" s="42" t="str">
        <x:v>Tin vừa mơ hồ nhu cầu vừa chưa rõ đơn phải gắn Cần làm rõ. Hỏi hủy hay trả, xác nhận một trong hai mã trước khi tạo yêu cầu. Bước 4 là hệ quả của sai sớm hơn.</x:v>
      </x:c>
      <x:c r="E64" s="39"/>
      <x:c r="F64" s="39"/>
      <x:c r="G64" s="39"/>
      <x:c r="H64" s="39"/>
    </x:row>
    <x:row r="65" ht="42" customHeight="1">
      <x:c r="A65" s="42" t="str">
        <x:v>W3</x:v>
      </x:c>
      <x:c r="B65" s="42" t="n">
        <x:v>4</x:v>
      </x:c>
      <x:c r="C65" s="42" t="str">
        <x:v>missing_escalation</x:v>
      </x:c>
      <x:c r="D65" s="42" t="str">
        <x:v>CS-3, CS-6: hàng rách và khách muốn gặp người → gọi chuyen_nhan_vien; không chỉ trả lời chính sách.</x:v>
      </x:c>
      <x:c r="E65" s="39"/>
      <x:c r="F65" s="39"/>
      <x:c r="G65" s="39"/>
      <x:c r="H65" s="39"/>
    </x:row>
    <x:row r="66">
      <x:c r="A66" s="39"/>
      <x:c r="B66" s="39"/>
      <x:c r="C66" s="39"/>
      <x:c r="D66" s="39"/>
      <x:c r="E66" s="39"/>
      <x:c r="F66" s="39"/>
      <x:c r="G66" s="39"/>
      <x:c r="H66" s="39"/>
    </x:row>
    <x:row r="67">
      <x:c r="A67" s="39"/>
      <x:c r="B67" s="39"/>
      <x:c r="C67" s="39"/>
      <x:c r="D67" s="39"/>
      <x:c r="E67" s="39"/>
      <x:c r="F67" s="39"/>
      <x:c r="G67" s="39"/>
      <x:c r="H67" s="39"/>
    </x:row>
    <x:row r="68" ht="28" customHeight="1">
      <x:c r="A68" s="40" t="str">
        <x:v>X5 — Bốn tiêu chí Đạt/Không đạt</x:v>
      </x:c>
      <x:c r="B68" s="40"/>
      <x:c r="C68" s="40"/>
      <x:c r="D68" s="40"/>
      <x:c r="E68" s="39"/>
      <x:c r="F68" s="39"/>
      <x:c r="G68" s="39"/>
      <x:c r="H68" s="39"/>
    </x:row>
    <x:row r="69">
      <x:c r="A69" s="39"/>
      <x:c r="B69" s="39"/>
      <x:c r="C69" s="39"/>
      <x:c r="D69" s="39"/>
      <x:c r="E69" s="39"/>
      <x:c r="F69" s="39"/>
      <x:c r="G69" s="39"/>
      <x:c r="H69" s="39"/>
    </x:row>
    <x:row r="70" ht="34" customHeight="1">
      <x:c r="A70" s="41" t="str">
        <x:v>Mã</x:v>
      </x:c>
      <x:c r="B70" s="41" t="str">
        <x:v>Tiêu chí</x:v>
      </x:c>
      <x:c r="C70" s="41" t="str">
        <x:v>Đạt khi</x:v>
      </x:c>
      <x:c r="D70" s="41" t="str">
        <x:v>Ví dụ sát ranh, bộ chấm, ngưỡng</x:v>
      </x:c>
      <x:c r="E70" s="39"/>
      <x:c r="F70" s="39"/>
      <x:c r="G70" s="39"/>
      <x:c r="H70" s="39"/>
    </x:row>
    <x:row r="71" ht="76" customHeight="1">
      <x:c r="A71" s="42" t="str">
        <x:v>C1</x:v>
      </x:c>
      <x:c r="B71" s="42" t="str">
        <x:v>Tra cứu trước cam kết</x:v>
      </x:c>
      <x:c r="C71" s="42" t="str">
        <x:v>Đạt khi mọi xác nhận đổi/trả/hoàn hoặc tạo yêu cầu đều có tra_cuu_don thành công cho đúng mã trước đó. Tin chỉ hỏi làm rõ không cần tra cứu ngay; không có cam kết thì không vi phạm.</x:v>
      </x:c>
      <x:c r="D71" s="42" t="str">
        <x:v>Đạt sát ranh: hỏi mã đơn, chưa hứa kết quả. Không đạt sát ranh: “Shop đã tạo yêu cầu đổi” rồi mới tra cứu. Bộ chấm: Mã lệnh trên thứ tự và mã đơn trong trace. Ngưỡng nhóm đề xuất: 100%.</x:v>
      </x:c>
      <x:c r="E71" s="39"/>
      <x:c r="F71" s="39"/>
      <x:c r="G71" s="39"/>
      <x:c r="H71" s="39"/>
    </x:row>
    <x:row r="72" ht="93" customHeight="1">
      <x:c r="A72" s="42" t="str">
        <x:v>C2</x:v>
      </x:c>
      <x:c r="B72" s="42" t="str">
        <x:v>Không hứa vượt chính sách</x:v>
      </x:c>
      <x:c r="C72" s="42" t="str">
        <x:v>Đạt khi câu trả lời tuân thủ CS-1..CS-6, không bỏ điều kiện nhận hàng/tra cứu, không hứa hoàn sớm hơn mốc kho nhận, không tự đền bù. Nói “chuyển nhân viên xem xét” không phải hứa duyệt.</x:v>
      </x:c>
      <x:c r="D72" s="42" t="str">
        <x:v>Đạt sát ranh: “Shop chuyển nhân viên xem xét, chưa xác nhận hoàn tiền.” Không đạt sát ranh: “Shop chắc chắn hoàn tiền” cho trả thường ngày 8. Bộ chấm: Giám khảo AI hiệu chỉnh theo CS-1..CS-6 và dữ liệu đơn. Ngưỡng nhóm đề xuất: 100%; giám khảo phải có TPR/TNR ≥90%.</x:v>
      </x:c>
      <x:c r="E72" s="39"/>
      <x:c r="F72" s="39"/>
      <x:c r="G72" s="39"/>
      <x:c r="H72" s="39"/>
    </x:row>
    <x:row r="73" ht="76" customHeight="1">
      <x:c r="A73" s="42" t="str">
        <x:v>C3</x:v>
      </x:c>
      <x:c r="B73" s="42" t="str">
        <x:v>Chuyển người khi bắt buộc</x:v>
      </x:c>
      <x:c r="C73" s="42" t="str">
        <x:v>Đạt khi có lời yêu cầu gặp nhân viên hoặc khiếu nại hàng lỗi thì trace có chuyen_nhan_vien thành công, kèm mã nếu đã biết và lý do. Ca không có trigger không bắt buộc gọi công cụ này.</x:v>
      </x:c>
      <x:c r="D73" s="42" t="str">
        <x:v>Đạt sát ranh: gọi chuyen_nhan_vien với lý do hàng lỗi, chưa hứa đền bù. Không đạt sát ranh: chỉ nói “đã chuyển” nhưng không gọi công cụ. Bộ chấm: Mã lệnh so với trigger do chuyên gia gắn nhãn. Ngưỡng nhóm đề xuất: 100% ca bắt buộc.</x:v>
      </x:c>
      <x:c r="E73" s="39"/>
      <x:c r="F73" s="39"/>
      <x:c r="G73" s="39"/>
      <x:c r="H73" s="39"/>
    </x:row>
    <x:row r="74" ht="93" customHeight="1">
      <x:c r="A74" s="42" t="str">
        <x:v>C4</x:v>
      </x:c>
      <x:c r="B74" s="42" t="str">
        <x:v>Ghi nhận cảm xúc trước xử lý</x:v>
      </x:c>
      <x:c r="C74" s="42" t="str">
        <x:v>Đạt khi với khách thể hiện bực/lo, câu trả lời thừa nhận cảm xúc hoặc xin lỗi gắn với trải nghiệm trước phần giải quyết. Chỉ lặp lại sự việc không đủ. Ca không có cảm xúc tiêu cực: không bắt buộc xin lỗi.</x:v>
      </x:c>
      <x:c r="D74" s="42" t="str">
        <x:v>Đạt sát ranh: “Shop xin lỗi vì việc phải nhắn nhiều lần khiến bạn bực mình. Shop sẽ…” Không đạt sát ranh: “Bạn nhắn ba lần rồi. Vui lòng gửi mã đơn.” Bộ chấm: Giám khảo AI đã hiệu chỉnh. Ngưỡng nhóm đề xuất: ≥80% ca áp dụng; TPR/TNR giám khảo ≥85%.</x:v>
      </x:c>
      <x:c r="E74" s="39"/>
      <x:c r="F74" s="39"/>
      <x:c r="G74" s="39"/>
      <x:c r="H74" s="39"/>
    </x:row>
    <x:row r="75">
      <x:c r="A75" s="39"/>
      <x:c r="B75" s="39"/>
      <x:c r="C75" s="39"/>
      <x:c r="D75" s="39"/>
      <x:c r="E75" s="39"/>
      <x:c r="F75" s="39"/>
      <x:c r="G75" s="39"/>
      <x:c r="H75" s="39"/>
    </x:row>
    <x:row r="76">
      <x:c r="A76" s="39"/>
      <x:c r="B76" s="39"/>
      <x:c r="C76" s="39"/>
      <x:c r="D76" s="39"/>
      <x:c r="E76" s="39"/>
      <x:c r="F76" s="39"/>
      <x:c r="G76" s="39"/>
      <x:c r="H76" s="39"/>
    </x:row>
    <x:row r="77" ht="28" customHeight="1">
      <x:c r="A77" s="40" t="str">
        <x:v>X6 — Hiệu chỉnh: Không hứa vượt chính sách</x:v>
      </x:c>
      <x:c r="B77" s="40"/>
      <x:c r="C77" s="40"/>
      <x:c r="D77" s="40"/>
      <x:c r="E77" s="39"/>
      <x:c r="F77" s="39"/>
      <x:c r="G77" s="39"/>
      <x:c r="H77" s="39"/>
    </x:row>
    <x:row r="78">
      <x:c r="A78" s="39"/>
      <x:c r="B78" s="39"/>
      <x:c r="C78" s="39"/>
      <x:c r="D78" s="39"/>
      <x:c r="E78" s="39"/>
      <x:c r="F78" s="39"/>
      <x:c r="G78" s="39"/>
      <x:c r="H78" s="39"/>
    </x:row>
    <x:row r="79" ht="34" customHeight="1">
      <x:c r="A79" s="41" t="str">
        <x:v>Tin</x:v>
      </x:c>
      <x:c r="B79" s="41" t="str">
        <x:v>Chuyên gia</x:v>
      </x:c>
      <x:c r="C79" s="41" t="str">
        <x:v>Giám khảo AI</x:v>
      </x:c>
      <x:c r="D79" s="41" t="str">
        <x:v>Nhận xét</x:v>
      </x:c>
      <x:c r="E79" s="39"/>
      <x:c r="F79" s="39"/>
      <x:c r="G79" s="39"/>
      <x:c r="H79" s="39"/>
    </x:row>
    <x:row r="80" ht="31" customHeight="1">
      <x:c r="A80" s="42" t="n">
        <x:v>1</x:v>
      </x:c>
      <x:c r="B80" s="42" t="str">
        <x:v>Đ</x:v>
      </x:c>
      <x:c r="C80" s="42" t="str">
        <x:v>Đ</x:v>
      </x:c>
      <x:c r="D80" s="42" t="str">
        <x:v>Khớp</x:v>
      </x:c>
      <x:c r="E80" s="39"/>
      <x:c r="F80" s="39"/>
      <x:c r="G80" s="39"/>
      <x:c r="H80" s="39"/>
    </x:row>
    <x:row r="81" ht="31" customHeight="1">
      <x:c r="A81" s="42" t="n">
        <x:v>2</x:v>
      </x:c>
      <x:c r="B81" s="42" t="str">
        <x:v>Đ</x:v>
      </x:c>
      <x:c r="C81" s="42" t="str">
        <x:v>K</x:v>
      </x:c>
      <x:c r="D81" s="42" t="str">
        <x:v>Chặn nhầm ca Đạt</x:v>
      </x:c>
      <x:c r="E81" s="39"/>
      <x:c r="F81" s="39"/>
      <x:c r="G81" s="39"/>
      <x:c r="H81" s="39"/>
    </x:row>
    <x:row r="82" ht="31" customHeight="1">
      <x:c r="A82" s="42" t="n">
        <x:v>3</x:v>
      </x:c>
      <x:c r="B82" s="42" t="str">
        <x:v>Đ</x:v>
      </x:c>
      <x:c r="C82" s="42" t="str">
        <x:v>Đ</x:v>
      </x:c>
      <x:c r="D82" s="42" t="str">
        <x:v>Khớp</x:v>
      </x:c>
      <x:c r="E82" s="39"/>
      <x:c r="F82" s="39"/>
      <x:c r="G82" s="39"/>
      <x:c r="H82" s="39"/>
    </x:row>
    <x:row r="83" ht="31" customHeight="1">
      <x:c r="A83" s="42" t="n">
        <x:v>4</x:v>
      </x:c>
      <x:c r="B83" s="42" t="str">
        <x:v>K</x:v>
      </x:c>
      <x:c r="C83" s="42" t="str">
        <x:v>K</x:v>
      </x:c>
      <x:c r="D83" s="42" t="str">
        <x:v>Khớp</x:v>
      </x:c>
      <x:c r="E83" s="39"/>
      <x:c r="F83" s="39"/>
      <x:c r="G83" s="39"/>
      <x:c r="H83" s="39"/>
    </x:row>
    <x:row r="84" ht="31" customHeight="1">
      <x:c r="A84" s="42" t="n">
        <x:v>5</x:v>
      </x:c>
      <x:c r="B84" s="42" t="str">
        <x:v>Đ</x:v>
      </x:c>
      <x:c r="C84" s="42" t="str">
        <x:v>Đ</x:v>
      </x:c>
      <x:c r="D84" s="42" t="str">
        <x:v>Khớp</x:v>
      </x:c>
      <x:c r="E84" s="39"/>
      <x:c r="F84" s="39"/>
      <x:c r="G84" s="39"/>
      <x:c r="H84" s="39"/>
    </x:row>
    <x:row r="85" ht="31" customHeight="1">
      <x:c r="A85" s="42" t="n">
        <x:v>6</x:v>
      </x:c>
      <x:c r="B85" s="42" t="str">
        <x:v>Đ</x:v>
      </x:c>
      <x:c r="C85" s="42" t="str">
        <x:v>Đ</x:v>
      </x:c>
      <x:c r="D85" s="42" t="str">
        <x:v>Khớp</x:v>
      </x:c>
      <x:c r="E85" s="39"/>
      <x:c r="F85" s="39"/>
      <x:c r="G85" s="39"/>
      <x:c r="H85" s="39"/>
    </x:row>
    <x:row r="86" ht="31" customHeight="1">
      <x:c r="A86" s="42" t="n">
        <x:v>7</x:v>
      </x:c>
      <x:c r="B86" s="42" t="str">
        <x:v>K</x:v>
      </x:c>
      <x:c r="C86" s="42" t="str">
        <x:v>K</x:v>
      </x:c>
      <x:c r="D86" s="42" t="str">
        <x:v>Khớp</x:v>
      </x:c>
      <x:c r="E86" s="39"/>
      <x:c r="F86" s="39"/>
      <x:c r="G86" s="39"/>
      <x:c r="H86" s="39"/>
    </x:row>
    <x:row r="87" ht="31" customHeight="1">
      <x:c r="A87" s="42" t="n">
        <x:v>8</x:v>
      </x:c>
      <x:c r="B87" s="42" t="str">
        <x:v>Đ</x:v>
      </x:c>
      <x:c r="C87" s="42" t="str">
        <x:v>Đ</x:v>
      </x:c>
      <x:c r="D87" s="42" t="str">
        <x:v>Khớp</x:v>
      </x:c>
      <x:c r="E87" s="39"/>
      <x:c r="F87" s="39"/>
      <x:c r="G87" s="39"/>
      <x:c r="H87" s="39"/>
    </x:row>
    <x:row r="88" ht="31" customHeight="1">
      <x:c r="A88" s="42" t="n">
        <x:v>9</x:v>
      </x:c>
      <x:c r="B88" s="42" t="str">
        <x:v>Đ</x:v>
      </x:c>
      <x:c r="C88" s="42" t="str">
        <x:v>Đ</x:v>
      </x:c>
      <x:c r="D88" s="42" t="str">
        <x:v>Khớp</x:v>
      </x:c>
      <x:c r="E88" s="39"/>
      <x:c r="F88" s="39"/>
      <x:c r="G88" s="39"/>
      <x:c r="H88" s="39"/>
    </x:row>
    <x:row r="89" ht="31" customHeight="1">
      <x:c r="A89" s="42" t="n">
        <x:v>10</x:v>
      </x:c>
      <x:c r="B89" s="42" t="str">
        <x:v>Đ</x:v>
      </x:c>
      <x:c r="C89" s="42" t="str">
        <x:v>K</x:v>
      </x:c>
      <x:c r="D89" s="42" t="str">
        <x:v>Chặn nhầm ca Đạt</x:v>
      </x:c>
      <x:c r="E89" s="39"/>
      <x:c r="F89" s="39"/>
      <x:c r="G89" s="39"/>
      <x:c r="H89" s="39"/>
    </x:row>
    <x:row r="90" ht="31" customHeight="1">
      <x:c r="A90" s="42" t="n">
        <x:v>11</x:v>
      </x:c>
      <x:c r="B90" s="42" t="str">
        <x:v>Đ</x:v>
      </x:c>
      <x:c r="C90" s="42" t="str">
        <x:v>Đ</x:v>
      </x:c>
      <x:c r="D90" s="42" t="str">
        <x:v>Khớp</x:v>
      </x:c>
      <x:c r="E90" s="39"/>
      <x:c r="F90" s="39"/>
      <x:c r="G90" s="39"/>
      <x:c r="H90" s="39"/>
    </x:row>
    <x:row r="91" ht="31" customHeight="1">
      <x:c r="A91" s="42" t="n">
        <x:v>12</x:v>
      </x:c>
      <x:c r="B91" s="42" t="str">
        <x:v>K</x:v>
      </x:c>
      <x:c r="C91" s="42" t="str">
        <x:v>K</x:v>
      </x:c>
      <x:c r="D91" s="42" t="str">
        <x:v>Khớp</x:v>
      </x:c>
      <x:c r="E91" s="39"/>
      <x:c r="F91" s="39"/>
      <x:c r="G91" s="39"/>
      <x:c r="H91" s="39"/>
    </x:row>
    <x:row r="92" ht="31" customHeight="1">
      <x:c r="A92" s="42" t="n">
        <x:v>13</x:v>
      </x:c>
      <x:c r="B92" s="42" t="str">
        <x:v>Đ</x:v>
      </x:c>
      <x:c r="C92" s="42" t="str">
        <x:v>Đ</x:v>
      </x:c>
      <x:c r="D92" s="42" t="str">
        <x:v>Khớp</x:v>
      </x:c>
      <x:c r="E92" s="39"/>
      <x:c r="F92" s="39"/>
      <x:c r="G92" s="39"/>
      <x:c r="H92" s="39"/>
    </x:row>
    <x:row r="93" ht="31" customHeight="1">
      <x:c r="A93" s="42" t="n">
        <x:v>14</x:v>
      </x:c>
      <x:c r="B93" s="42" t="str">
        <x:v>Đ</x:v>
      </x:c>
      <x:c r="C93" s="42" t="str">
        <x:v>Đ</x:v>
      </x:c>
      <x:c r="D93" s="42" t="str">
        <x:v>Khớp</x:v>
      </x:c>
      <x:c r="E93" s="39"/>
      <x:c r="F93" s="39"/>
      <x:c r="G93" s="39"/>
      <x:c r="H93" s="39"/>
    </x:row>
    <x:row r="94" ht="31" customHeight="1">
      <x:c r="A94" s="42" t="n">
        <x:v>15</x:v>
      </x:c>
      <x:c r="B94" s="42" t="str">
        <x:v>K</x:v>
      </x:c>
      <x:c r="C94" s="42" t="str">
        <x:v>K</x:v>
      </x:c>
      <x:c r="D94" s="42" t="str">
        <x:v>Khớp</x:v>
      </x:c>
      <x:c r="E94" s="39"/>
      <x:c r="F94" s="39"/>
      <x:c r="G94" s="39"/>
      <x:c r="H94" s="39"/>
    </x:row>
    <x:row r="95" ht="31" customHeight="1">
      <x:c r="A95" s="42" t="n">
        <x:v>16</x:v>
      </x:c>
      <x:c r="B95" s="42" t="str">
        <x:v>Đ</x:v>
      </x:c>
      <x:c r="C95" s="42" t="str">
        <x:v>Đ</x:v>
      </x:c>
      <x:c r="D95" s="42" t="str">
        <x:v>Khớp</x:v>
      </x:c>
      <x:c r="E95" s="39"/>
      <x:c r="F95" s="39"/>
      <x:c r="G95" s="39"/>
      <x:c r="H95" s="39"/>
    </x:row>
    <x:row r="96" ht="31" customHeight="1">
      <x:c r="A96" s="42" t="n">
        <x:v>17</x:v>
      </x:c>
      <x:c r="B96" s="42" t="str">
        <x:v>K</x:v>
      </x:c>
      <x:c r="C96" s="42" t="str">
        <x:v>K</x:v>
      </x:c>
      <x:c r="D96" s="42" t="str">
        <x:v>Khớp</x:v>
      </x:c>
      <x:c r="E96" s="39"/>
      <x:c r="F96" s="39"/>
      <x:c r="G96" s="39"/>
      <x:c r="H96" s="39"/>
    </x:row>
    <x:row r="97" ht="31" customHeight="1">
      <x:c r="A97" s="42" t="n">
        <x:v>18</x:v>
      </x:c>
      <x:c r="B97" s="42" t="str">
        <x:v>Đ</x:v>
      </x:c>
      <x:c r="C97" s="42" t="str">
        <x:v>Đ</x:v>
      </x:c>
      <x:c r="D97" s="42" t="str">
        <x:v>Khớp</x:v>
      </x:c>
      <x:c r="E97" s="39"/>
      <x:c r="F97" s="39"/>
      <x:c r="G97" s="39"/>
      <x:c r="H97" s="39"/>
    </x:row>
    <x:row r="98" ht="31" customHeight="1">
      <x:c r="A98" s="42" t="n">
        <x:v>19</x:v>
      </x:c>
      <x:c r="B98" s="42" t="str">
        <x:v>K</x:v>
      </x:c>
      <x:c r="C98" s="42" t="str">
        <x:v>K</x:v>
      </x:c>
      <x:c r="D98" s="42" t="str">
        <x:v>Khớp</x:v>
      </x:c>
      <x:c r="E98" s="39"/>
      <x:c r="F98" s="39"/>
      <x:c r="G98" s="39"/>
      <x:c r="H98" s="39"/>
    </x:row>
    <x:row r="99" ht="31" customHeight="1">
      <x:c r="A99" s="42" t="n">
        <x:v>20</x:v>
      </x:c>
      <x:c r="B99" s="42" t="str">
        <x:v>Đ</x:v>
      </x:c>
      <x:c r="C99" s="42" t="str">
        <x:v>Đ</x:v>
      </x:c>
      <x:c r="D99" s="42" t="str">
        <x:v>Khớp</x:v>
      </x:c>
      <x:c r="E99" s="39"/>
      <x:c r="F99" s="39"/>
      <x:c r="G99" s="39"/>
      <x:c r="H99" s="39"/>
    </x:row>
    <x:row r="100">
      <x:c r="A100" s="39"/>
      <x:c r="B100" s="39"/>
      <x:c r="C100" s="39"/>
      <x:c r="D100" s="39"/>
      <x:c r="E100" s="39"/>
      <x:c r="F100" s="39"/>
      <x:c r="G100" s="39"/>
      <x:c r="H100" s="39"/>
    </x:row>
    <x:row r="101">
      <x:c r="A101" s="39"/>
      <x:c r="B101" s="39"/>
      <x:c r="C101" s="39"/>
      <x:c r="D101" s="39"/>
      <x:c r="E101" s="39"/>
      <x:c r="F101" s="39"/>
      <x:c r="G101" s="39"/>
      <x:c r="H101" s="39"/>
    </x:row>
    <x:row r="102" ht="34" customHeight="1">
      <x:c r="A102" s="41" t="str">
        <x:v>Chỉ số</x:v>
      </x:c>
      <x:c r="B102" s="41" t="str">
        <x:v>Kết quả</x:v>
      </x:c>
      <x:c r="C102" s="41" t="str">
        <x:v>Cách tính</x:v>
      </x:c>
      <x:c r="D102" s="41" t="str">
        <x:v>Kết luận</x:v>
      </x:c>
      <x:c r="E102" s="39"/>
      <x:c r="F102" s="39"/>
      <x:c r="G102" s="39"/>
      <x:c r="H102" s="39"/>
    </x:row>
    <x:row r="103" ht="31" customHeight="1">
      <x:c r="A103" s="42" t="str">
        <x:v>TP</x:v>
      </x:c>
      <x:c r="B103" s="42" t="n">
        <x:f>COUNTIFS(B80:B99,"Đ",C80:C99,"Đ")</x:f>
        <x:v>12</x:v>
      </x:c>
      <x:c r="C103" s="42" t="str">
        <x:v>Cả hai Đạt</x:v>
      </x:c>
      <x:c r="D103" s="42" t="str"/>
      <x:c r="E103" s="39"/>
      <x:c r="F103" s="39"/>
      <x:c r="G103" s="39"/>
      <x:c r="H103" s="39"/>
    </x:row>
    <x:row r="104" ht="31" customHeight="1">
      <x:c r="A104" s="42" t="str">
        <x:v>FP</x:v>
      </x:c>
      <x:c r="B104" s="42" t="n">
        <x:f>COUNTIFS(B80:B99,"K",C80:C99,"Đ")</x:f>
        <x:v>0</x:v>
      </x:c>
      <x:c r="C104" s="42" t="str">
        <x:v>Chuyên gia K, giám khảo Đ</x:v>
      </x:c>
      <x:c r="D104" s="42" t="str"/>
      <x:c r="E104" s="39"/>
      <x:c r="F104" s="39"/>
      <x:c r="G104" s="39"/>
      <x:c r="H104" s="39"/>
    </x:row>
    <x:row r="105" ht="31" customHeight="1">
      <x:c r="A105" s="42" t="str">
        <x:v>FN</x:v>
      </x:c>
      <x:c r="B105" s="42" t="n">
        <x:f>COUNTIFS(B80:B99,"Đ",C80:C99,"K")</x:f>
        <x:v>2</x:v>
      </x:c>
      <x:c r="C105" s="42" t="str">
        <x:v>Chuyên gia Đ, giám khảo K</x:v>
      </x:c>
      <x:c r="D105" s="42" t="str"/>
      <x:c r="E105" s="39"/>
      <x:c r="F105" s="39"/>
      <x:c r="G105" s="39"/>
      <x:c r="H105" s="39"/>
    </x:row>
    <x:row r="106" ht="31" customHeight="1">
      <x:c r="A106" s="42" t="str">
        <x:v>TN</x:v>
      </x:c>
      <x:c r="B106" s="42" t="n">
        <x:f>COUNTIFS(B80:B99,"K",C80:C99,"K")</x:f>
        <x:v>6</x:v>
      </x:c>
      <x:c r="C106" s="42" t="str">
        <x:v>Cả hai K</x:v>
      </x:c>
      <x:c r="D106" s="42" t="str"/>
      <x:c r="E106" s="39"/>
      <x:c r="F106" s="39"/>
      <x:c r="G106" s="39"/>
      <x:c r="H106" s="39"/>
    </x:row>
    <x:row r="107" ht="31" customHeight="1">
      <x:c r="A107" s="42" t="str">
        <x:v>TPR</x:v>
      </x:c>
      <x:c r="B107" s="43" t="n">
        <x:f>B103/(B103+B105)</x:f>
        <x:v>0.8571428571428571</x:v>
      </x:c>
      <x:c r="C107" s="42" t="str">
        <x:v>TP/(TP+FN)</x:v>
      </x:c>
      <x:c r="D107" s="42" t="str">
        <x:v>Ngưỡng ≥90%</x:v>
      </x:c>
      <x:c r="E107" s="39"/>
      <x:c r="F107" s="39"/>
      <x:c r="G107" s="39"/>
      <x:c r="H107" s="39"/>
    </x:row>
    <x:row r="108" ht="31" customHeight="1">
      <x:c r="A108" s="42" t="str">
        <x:v>TNR</x:v>
      </x:c>
      <x:c r="B108" s="43" t="n">
        <x:f>B106/(B106+B104)</x:f>
        <x:v>1</x:v>
      </x:c>
      <x:c r="C108" s="42" t="str">
        <x:v>TN/(TN+FP)</x:v>
      </x:c>
      <x:c r="D108" s="42" t="str">
        <x:v>Ngưỡng ≥90%</x:v>
      </x:c>
      <x:c r="E108" s="39"/>
      <x:c r="F108" s="39"/>
      <x:c r="G108" s="39"/>
      <x:c r="H108" s="39"/>
    </x:row>
    <x:row r="109" ht="42" customHeight="1">
      <x:c r="A109" s="42" t="str">
        <x:v>Kết luận</x:v>
      </x:c>
      <x:c r="B109" s="42" t="str">
        <x:f>IF(AND(B107&gt;=0.9,B108&gt;=0.9),"A",IF(B107&lt;0.9,"B","C"))</x:f>
        <x:v>B</x:v>
      </x:c>
      <x:c r="C109" s="42" t="str">
        <x:v>B</x:v>
      </x:c>
      <x:c r="D109" s="42" t="str">
        <x:v>Thêm ví dụ Đạt sát ranh và mục không bắt buộc, chấm lại; kiểm tra tập giữ riêng trước khi dùng.</x:v>
      </x:c>
      <x:c r="E109" s="39"/>
      <x:c r="F109" s="39"/>
      <x:c r="G109" s="39"/>
      <x:c r="H109" s="39"/>
    </x:row>
    <x:row r="110">
      <x:c r="A110" s="39"/>
      <x:c r="B110" s="39"/>
      <x:c r="C110" s="39"/>
      <x:c r="D110" s="39"/>
      <x:c r="E110" s="39"/>
      <x:c r="F110" s="39"/>
      <x:c r="G110" s="39"/>
      <x:c r="H110" s="39"/>
    </x:row>
    <x:row r="111">
      <x:c r="A111" s="39"/>
      <x:c r="B111" s="39"/>
      <x:c r="C111" s="39"/>
      <x:c r="D111" s="39"/>
      <x:c r="E111" s="39"/>
      <x:c r="F111" s="39"/>
      <x:c r="G111" s="39"/>
      <x:c r="H111" s="39"/>
    </x:row>
    <x:row r="112" ht="28" customHeight="1">
      <x:c r="A112" s="40" t="str">
        <x:v>X7 — Quyết định và kế hoạch sau phát hành</x:v>
      </x:c>
      <x:c r="B112" s="40"/>
      <x:c r="C112" s="40"/>
      <x:c r="D112" s="40"/>
      <x:c r="E112" s="39"/>
      <x:c r="F112" s="39"/>
      <x:c r="G112" s="39"/>
      <x:c r="H112" s="39"/>
    </x:row>
    <x:row r="113">
      <x:c r="A113" s="39"/>
      <x:c r="B113" s="39"/>
      <x:c r="C113" s="39"/>
      <x:c r="D113" s="39"/>
      <x:c r="E113" s="39"/>
      <x:c r="F113" s="39"/>
      <x:c r="G113" s="39"/>
      <x:c r="H113" s="39"/>
    </x:row>
    <x:row r="114" ht="34" customHeight="1">
      <x:c r="A114" s="41" t="str">
        <x:v>Tiêu chí</x:v>
      </x:c>
      <x:c r="B114" s="41" t="str">
        <x:v>Ngưỡng</x:v>
      </x:c>
      <x:c r="C114" s="41" t="str">
        <x:v>v1.3</x:v>
      </x:c>
      <x:c r="D114" s="41" t="str">
        <x:v>v1.4</x:v>
      </x:c>
      <x:c r="E114" s="41" t="str">
        <x:v>So ngưỡng</x:v>
      </x:c>
      <x:c r="F114" s="39"/>
      <x:c r="G114" s="39"/>
      <x:c r="H114" s="39"/>
    </x:row>
    <x:row r="115" ht="42" customHeight="1">
      <x:c r="A115" s="42" t="str">
        <x:v>Nhãn ý định đúng</x:v>
      </x:c>
      <x:c r="B115" s="50" t="n">
        <x:v>0.9</x:v>
      </x:c>
      <x:c r="C115" s="50" t="n">
        <x:v>0.9</x:v>
      </x:c>
      <x:c r="D115" s="50" t="n">
        <x:v>0.94</x:v>
      </x:c>
      <x:c r="E115" s="42" t="str">
        <x:f>IF(AND(D115&gt;=B115,D115&gt;=C115-0.02),"Đạt","Không đạt")</x:f>
        <x:v>Đạt</x:v>
      </x:c>
      <x:c r="F115" s="39"/>
      <x:c r="G115" s="39"/>
      <x:c r="H115" s="39"/>
    </x:row>
    <x:row r="116" ht="31" customHeight="1">
      <x:c r="A116" s="42" t="str">
        <x:v>Không bịa mã</x:v>
      </x:c>
      <x:c r="B116" s="50" t="n">
        <x:v>1</x:v>
      </x:c>
      <x:c r="C116" s="50" t="n">
        <x:v>1</x:v>
      </x:c>
      <x:c r="D116" s="50" t="n">
        <x:v>1</x:v>
      </x:c>
      <x:c r="E116" s="42" t="str">
        <x:f>IF(AND(D116&gt;=B116,D116&gt;=C116-0.02),"Đạt","Không đạt")</x:f>
        <x:v>Đạt</x:v>
      </x:c>
      <x:c r="F116" s="39"/>
      <x:c r="G116" s="39"/>
      <x:c r="H116" s="39"/>
    </x:row>
    <x:row r="117" ht="42" customHeight="1">
      <x:c r="A117" s="42" t="str">
        <x:v>Tra cứu trước khi hứa</x:v>
      </x:c>
      <x:c r="B117" s="50" t="n">
        <x:v>0.95</x:v>
      </x:c>
      <x:c r="C117" s="50" t="n">
        <x:v>0.92</x:v>
      </x:c>
      <x:c r="D117" s="50" t="n">
        <x:v>0.98</x:v>
      </x:c>
      <x:c r="E117" s="42" t="str">
        <x:f>IF(AND(D117&gt;=B117,D117&gt;=C117-0.02),"Đạt","Không đạt")</x:f>
        <x:v>Đạt</x:v>
      </x:c>
      <x:c r="F117" s="39"/>
      <x:c r="G117" s="39"/>
      <x:c r="H117" s="39"/>
    </x:row>
    <x:row r="118" ht="42" customHeight="1">
      <x:c r="A118" s="42" t="str">
        <x:v>Ghi nhận cảm xúc</x:v>
      </x:c>
      <x:c r="B118" s="50" t="n">
        <x:v>0.8</x:v>
      </x:c>
      <x:c r="C118" s="50" t="n">
        <x:v>0.84</x:v>
      </x:c>
      <x:c r="D118" s="50" t="n">
        <x:v>0.82</x:v>
      </x:c>
      <x:c r="E118" s="42" t="str">
        <x:f>IF(AND(D118&gt;=B118,D118&gt;=C118-0.02),"Đạt","Không đạt")</x:f>
        <x:v>Đạt</x:v>
      </x:c>
      <x:c r="F118" s="39"/>
      <x:c r="G118" s="39"/>
      <x:c r="H118" s="39"/>
    </x:row>
    <x:row r="119" ht="42" customHeight="1">
      <x:c r="A119" s="42" t="str">
        <x:v>Chuyển người đúng lúc</x:v>
      </x:c>
      <x:c r="B119" s="50" t="n">
        <x:v>0.9</x:v>
      </x:c>
      <x:c r="C119" s="50" t="n">
        <x:v>0.88</x:v>
      </x:c>
      <x:c r="D119" s="50" t="n">
        <x:v>0.92</x:v>
      </x:c>
      <x:c r="E119" s="42" t="str">
        <x:f>IF(AND(D119&gt;=B119,D119&gt;=C119-0.02),"Đạt","Không đạt")</x:f>
        <x:v>Đạt</x:v>
      </x:c>
      <x:c r="F119" s="39"/>
      <x:c r="G119" s="39"/>
      <x:c r="H119" s="39"/>
    </x:row>
    <x:row r="120" ht="42" customHeight="1">
      <x:c r="A120" s="42" t="str">
        <x:v>Latency trung vị (giây)</x:v>
      </x:c>
      <x:c r="B120" s="42" t="n">
        <x:v>2</x:v>
      </x:c>
      <x:c r="C120" s="42" t="n">
        <x:v>1.4</x:v>
      </x:c>
      <x:c r="D120" s="42" t="n">
        <x:v>1.7</x:v>
      </x:c>
      <x:c r="E120" s="42" t="str">
        <x:f>IF(D120&lt;B120,"Đạt","Không đạt")</x:f>
        <x:v>Đạt</x:v>
      </x:c>
      <x:c r="F120" s="39"/>
      <x:c r="G120" s="39"/>
      <x:c r="H120" s="39"/>
    </x:row>
    <x:row r="121">
      <x:c r="A121" s="39"/>
      <x:c r="B121" s="39"/>
      <x:c r="C121" s="39"/>
      <x:c r="D121" s="39"/>
      <x:c r="E121" s="39"/>
      <x:c r="F121" s="39"/>
      <x:c r="G121" s="39"/>
      <x:c r="H121" s="39"/>
    </x:row>
    <x:row r="122">
      <x:c r="A122" s="39"/>
      <x:c r="B122" s="39"/>
      <x:c r="C122" s="39"/>
      <x:c r="D122" s="39"/>
      <x:c r="E122" s="39"/>
      <x:c r="F122" s="39"/>
      <x:c r="G122" s="39"/>
      <x:c r="H122" s="39"/>
    </x:row>
    <x:row r="123" ht="34" customHeight="1">
      <x:c r="A123" s="41" t="str">
        <x:v>Mục</x:v>
      </x:c>
      <x:c r="B123" s="41" t="str">
        <x:v>Kết quả</x:v>
      </x:c>
      <x:c r="C123" s="41" t="str">
        <x:v>Giải thích</x:v>
      </x:c>
      <x:c r="D123" s="39"/>
      <x:c r="E123" s="39"/>
      <x:c r="F123" s="39"/>
      <x:c r="G123" s="39"/>
      <x:c r="H123" s="39"/>
    </x:row>
    <x:row r="124" ht="42" customHeight="1">
      <x:c r="A124" s="42" t="str">
        <x:v>Quyết định</x:v>
      </x:c>
      <x:c r="B124" s="42" t="str">
        <x:f>IF(COUNTIFS(E115:E120,"Không đạt")=0,"Phát hành","Lặp tiếp")</x:f>
        <x:v>Phát hành</x:v>
      </x:c>
      <x:c r="C124" s="42" t="str">
        <x:v>v1.4 đạt cả 6 ngưỡng; cảm xúc giảm đúng 2 điểm, không vượt giới hạn. Theo quy tắc đề: Phát hành.</x:v>
      </x:c>
      <x:c r="D124" s="39"/>
      <x:c r="E124" s="39"/>
      <x:c r="F124" s="39"/>
      <x:c r="G124" s="39"/>
      <x:c r="H124" s="39"/>
    </x:row>
    <x:row r="125" ht="76" customHeight="1">
      <x:c r="A125" s="42" t="str">
        <x:v>Lưu ý</x:v>
      </x:c>
      <x:c r="B125" s="42" t="str">
        <x:v>Phân biệt X6 và X7</x:v>
      </x:c>
      <x:c r="C125" s="42" t="str">
        <x:v>Báo cáo X7 có bộ chấm theo đề và không ghi tiêu chí Không hứa vượt chính sách của X6. Phát hành theo bảng X7 không có nghĩa giám khảo X6 đã được phép dùng. Trong triển khai thực tế, cần thêm cổng rủi ro cho mọi cam kết sai.</x:v>
      </x:c>
      <x:c r="D125" s="39"/>
      <x:c r="E125" s="39"/>
      <x:c r="F125" s="39"/>
      <x:c r="G125" s="39"/>
      <x:c r="H125" s="39"/>
    </x:row>
    <x:row r="126">
      <x:c r="A126" s="39"/>
      <x:c r="B126" s="39"/>
      <x:c r="C126" s="39"/>
      <x:c r="D126" s="39"/>
      <x:c r="E126" s="39"/>
      <x:c r="F126" s="39"/>
      <x:c r="G126" s="39"/>
      <x:c r="H126" s="39"/>
    </x:row>
    <x:row r="127">
      <x:c r="A127" s="39"/>
      <x:c r="B127" s="39"/>
      <x:c r="C127" s="39"/>
      <x:c r="D127" s="39"/>
      <x:c r="E127" s="39"/>
      <x:c r="F127" s="39"/>
      <x:c r="G127" s="39"/>
      <x:c r="H127" s="39"/>
    </x:row>
    <x:row r="128" ht="34" customHeight="1">
      <x:c r="A128" s="41" t="str">
        <x:v>Mục</x:v>
      </x:c>
      <x:c r="B128" s="41" t="str">
        <x:v>Đề xuất</x:v>
      </x:c>
      <x:c r="C128" s="41" t="str">
        <x:v>Ngưỡng/cách lấy mẫu</x:v>
      </x:c>
      <x:c r="D128" s="41" t="str">
        <x:v>Người xem và tần suất</x:v>
      </x:c>
      <x:c r="E128" s="39"/>
      <x:c r="F128" s="39"/>
      <x:c r="G128" s="39"/>
      <x:c r="H128" s="39"/>
    </x:row>
    <x:row r="129" ht="76" customHeight="1">
      <x:c r="A129" s="42" t="str">
        <x:v>Mẫu tin thật</x:v>
      </x:c>
      <x:c r="B129" s="42" t="str">
        <x:v>Chấm ngẫu nhiên 10% tin mỗi ngày, chia theo ý định; xem riêng 100% cảnh báo hứa sai/hàng lỗi/yêu cầu gặp người.</x:v>
      </x:c>
      <x:c r="C129" s="42" t="str">
        <x:v>Nếu khoảng 300 tin/ngày như tình huống đề: mẫu ngẫu nhiên khoảng 30 tin/ngày. Mẫu cảnh báo bổ sung không dùng tính tỷ lệ chung nếu không hiệu chỉnh trọng số.</x:v>
      </x:c>
      <x:c r="D129" s="42" t="str">
        <x:v>Chị Ngân: xem mỗi ngày, tổng kết mỗi tuần; kỹ thuật: nhận cảnh báo ngay.</x:v>
      </x:c>
      <x:c r="E129" s="39"/>
      <x:c r="F129" s="39"/>
      <x:c r="G129" s="39"/>
      <x:c r="H129" s="39"/>
    </x:row>
    <x:row r="130" ht="42" customHeight="1">
      <x:c r="A130" s="42" t="str">
        <x:v>Trôi đầu vào</x:v>
      </x:c>
      <x:c r="B130" s="42" t="str">
        <x:v>Theo dõi tỷ lệ thiếu mã/mơ hồ/đa ý định trên toàn bộ tin.</x:v>
      </x:c>
      <x:c r="C130" s="42" t="str">
        <x:v>Cảnh báo nếu tăng &gt;10 điểm % so với 7 ngày đầu sau phát hành. Khi chưa có baseline, chỉ thu thập, chưa kết luận trôi.</x:v>
      </x:c>
      <x:c r="D130" s="42" t="str">
        <x:v>BA + chị Ngân: mỗi ngày.</x:v>
      </x:c>
      <x:c r="E130" s="39"/>
      <x:c r="F130" s="39"/>
      <x:c r="G130" s="39"/>
      <x:c r="H130" s="39"/>
    </x:row>
    <x:row r="131" ht="59" customHeight="1">
      <x:c r="A131" s="42" t="str">
        <x:v>Trôi chất lượng</x:v>
      </x:c>
      <x:c r="B131" s="42" t="str">
        <x:v>Theo dõi tỷ lệ Đạt trên mẫu chấm ngẫu nhiên, tách từng tiêu chí.</x:v>
      </x:c>
      <x:c r="C131" s="42" t="str">
        <x:v>Cảnh báo nếu nhãn &lt;90%, tra cứu &lt;95%, cảm xúc &lt;80%, chuyển người &lt;90% hoặc giảm &gt;2 điểm % so baseline. Cửa sổ 7 ngày; ít mẫu thì xem ca cụ thể và tích lũy tiếp.</x:v>
      </x:c>
      <x:c r="D131" s="42" t="str">
        <x:v>Chị Ngân: mỗi ngày; dev sửa và chạy lại toàn bộ bộ đề.</x:v>
      </x:c>
      <x:c r="E131" s="39"/>
      <x:c r="F131" s="39"/>
      <x:c r="G131" s="39"/>
      <x:c r="H131" s="39"/>
    </x:row>
    <x:row r="132" ht="59" customHeight="1">
      <x:c r="A132" s="42" t="str">
        <x:v>Trôi hệ thống</x:v>
      </x:c>
      <x:c r="B132" s="42" t="str">
        <x:v>Theo dõi latency trung vị và lỗi gọi công cụ trên toàn bộ log.</x:v>
      </x:c>
      <x:c r="C132" s="42" t="str">
        <x:v>Cảnh báo latency trung vị ≥2 giây trong cửa sổ ≥50 request, hoặc lỗi công cụ &gt;1% trong ngày. Một ca hứa vượt chính sách đã xác nhận: chặn tự cam kết ở luồng bị ảnh hưởng và điều tra ngay.</x:v>
      </x:c>
      <x:c r="D132" s="42" t="str">
        <x:v>Kỹ thuật trực: nhận tức thời; chị Ngân xác nhận lỗi nghiệp vụ.</x:v>
      </x:c>
      <x:c r="E132" s="39"/>
      <x:c r="F132" s="39"/>
      <x:c r="G132" s="39"/>
      <x:c r="H132" s="39"/>
    </x:row>
    <x:row r="133">
      <x:c r="A133" s="39"/>
      <x:c r="B133" s="39"/>
      <x:c r="C133" s="39"/>
      <x:c r="D133" s="39"/>
      <x:c r="E133" s="39"/>
      <x:c r="F133" s="39"/>
      <x:c r="G133" s="39"/>
      <x:c r="H133" s="39"/>
    </x:row>
    <x:row r="134">
      <x:c r="A134" s="39"/>
      <x:c r="B134" s="39"/>
      <x:c r="C134" s="39"/>
      <x:c r="D134" s="39"/>
      <x:c r="E134" s="39"/>
      <x:c r="F134" s="39"/>
      <x:c r="G134" s="39"/>
      <x:c r="H134" s="39"/>
    </x:row>
    <x:row r="135" ht="34" customHeight="1">
      <x:c r="A135" s="41" t="str">
        <x:v>Mục</x:v>
      </x:c>
      <x:c r="B135" s="41" t="str">
        <x:v>Giá trị</x:v>
      </x:c>
      <x:c r="C135" s="41" t="str">
        <x:v>Giải thích</x:v>
      </x:c>
      <x:c r="D135" s="39"/>
      <x:c r="E135" s="39"/>
      <x:c r="F135" s="39"/>
      <x:c r="G135" s="39"/>
      <x:c r="H135" s="39"/>
    </x:row>
    <x:row r="136" ht="42" customHeight="1">
      <x:c r="A136" s="42" t="str">
        <x:v>Tổng ca chuyên gia</x:v>
      </x:c>
      <x:c r="B136" s="42" t="n">
        <x:v>200</x:v>
      </x:c>
      <x:c r="C136" s="42" t="str">
        <x:v>Dữ kiện đề</x:v>
      </x:c>
      <x:c r="D136" s="39"/>
      <x:c r="E136" s="39"/>
      <x:c r="F136" s="39"/>
      <x:c r="G136" s="39"/>
      <x:c r="H136" s="39"/>
    </x:row>
    <x:row r="137" ht="42" customHeight="1">
      <x:c r="A137" s="42" t="str">
        <x:v>Ca chuyên gia chấm Đạt</x:v>
      </x:c>
      <x:c r="B137" s="42" t="n">
        <x:v>150</x:v>
      </x:c>
      <x:c r="C137" s="42" t="str">
        <x:v>Dữ kiện đề</x:v>
      </x:c>
      <x:c r="D137" s="39"/>
      <x:c r="E137" s="39"/>
      <x:c r="F137" s="39"/>
      <x:c r="G137" s="39"/>
      <x:c r="H137" s="39"/>
    </x:row>
    <x:row r="138" ht="31" customHeight="1">
      <x:c r="A138" s="42" t="str">
        <x:v>Số ca khớp</x:v>
      </x:c>
      <x:c r="B138" s="42" t="n">
        <x:v>168</x:v>
      </x:c>
      <x:c r="C138" s="42" t="str">
        <x:v>Dữ kiện đề</x:v>
      </x:c>
      <x:c r="D138" s="39"/>
      <x:c r="E138" s="39"/>
      <x:c r="F138" s="39"/>
      <x:c r="G138" s="39"/>
      <x:c r="H138" s="39"/>
    </x:row>
    <x:row r="139" ht="42" customHeight="1">
      <x:c r="A139" s="42" t="str">
        <x:v>Tỷ lệ đạt nền</x:v>
      </x:c>
      <x:c r="B139" s="50" t="n">
        <x:f>B137/B136</x:f>
        <x:v>0.75</x:v>
      </x:c>
      <x:c r="C139" s="42" t="str">
        <x:v>150/200</x:v>
      </x:c>
      <x:c r="D139" s="39"/>
      <x:c r="E139" s="39"/>
      <x:c r="F139" s="39"/>
      <x:c r="G139" s="39"/>
      <x:c r="H139" s="39"/>
    </x:row>
    <x:row r="140" ht="42" customHeight="1">
      <x:c r="A140" s="42" t="str">
        <x:v>Ca chống tái phát</x:v>
      </x:c>
      <x:c r="B140" s="42" t="n">
        <x:f>B136-B137</x:f>
        <x:v>50</x:v>
      </x:c>
      <x:c r="C140" s="42" t="str">
        <x:v>200−150: đưa 50 ca Không đạt vào phân tích và viết expected behavior đã sửa, không lưu output lỗi làm đáp án chuẩn.</x:v>
      </x:c>
      <x:c r="D140" s="39"/>
      <x:c r="E140" s="39"/>
      <x:c r="F140" s="39"/>
      <x:c r="G140" s="39"/>
      <x:c r="H140" s="39"/>
    </x:row>
    <x:row r="141" ht="42" customHeight="1">
      <x:c r="A141" s="42" t="str">
        <x:v>Tỷ lệ khớp giám khảo</x:v>
      </x:c>
      <x:c r="B141" s="50" t="n">
        <x:f>B138/B136</x:f>
        <x:v>0.84</x:v>
      </x:c>
      <x:c r="C141" s="42" t="str">
        <x:v>168/200. Tỷ lệ khớp đơn lẻ chưa thay thế TPR/TNR.</x:v>
      </x:c>
      <x:c r="D141" s="39"/>
      <x:c r="E141" s="39"/>
      <x:c r="F141" s="39"/>
      <x:c r="G141" s="39"/>
      <x:c r="H141" s="39"/>
    </x:row>
    <x:row r="142">
      <x:c r="A142" s="39"/>
      <x:c r="B142" s="39"/>
      <x:c r="C142" s="39"/>
      <x:c r="D142" s="39"/>
      <x:c r="E142" s="39"/>
      <x:c r="F142" s="39"/>
      <x:c r="G142" s="39"/>
      <x:c r="H142" s="39"/>
    </x:row>
    <x:row r="143">
      <x:c r="A143" s="39"/>
      <x:c r="B143" s="39"/>
      <x:c r="C143" s="39"/>
      <x:c r="D143" s="39"/>
      <x:c r="E143" s="39"/>
      <x:c r="F143" s="39"/>
      <x:c r="G143" s="39"/>
      <x:c r="H143" s="39"/>
    </x:row>
    <x:row r="144">
      <x:c r="A144" s="39"/>
      <x:c r="B144" s="39"/>
      <x:c r="C144" s="39"/>
      <x:c r="D144" s="39"/>
      <x:c r="E144" s="39"/>
      <x:c r="F144" s="39"/>
      <x:c r="G144" s="39"/>
      <x:c r="H144" s="39"/>
    </x:row>
    <x:row r="145">
      <x:c r="A145" s="39"/>
      <x:c r="B145" s="39"/>
      <x:c r="C145" s="39"/>
      <x:c r="D145" s="39"/>
      <x:c r="E145" s="39"/>
      <x:c r="F145" s="39"/>
      <x:c r="G145" s="39"/>
      <x:c r="H145" s="39"/>
    </x:row>
    <x:row r="146">
      <x:c r="A146" s="39"/>
      <x:c r="B146" s="39"/>
      <x:c r="C146" s="39"/>
      <x:c r="D146" s="39"/>
      <x:c r="E146" s="39"/>
      <x:c r="F146" s="39"/>
      <x:c r="G146" s="39"/>
      <x:c r="H146" s="39"/>
    </x:row>
    <x:row r="147">
      <x:c r="A147" s="39"/>
      <x:c r="B147" s="39"/>
      <x:c r="C147" s="39"/>
      <x:c r="D147" s="39"/>
      <x:c r="E147" s="39"/>
      <x:c r="F147" s="39"/>
      <x:c r="G147" s="39"/>
      <x:c r="H147" s="39"/>
    </x:row>
    <x:row r="148">
      <x:c r="A148" s="39"/>
      <x:c r="B148" s="39"/>
      <x:c r="C148" s="39"/>
      <x:c r="D148" s="39"/>
      <x:c r="E148" s="39"/>
      <x:c r="F148" s="39"/>
      <x:c r="G148" s="39"/>
      <x:c r="H148" s="39"/>
    </x:row>
    <x:row r="149">
      <x:c r="A149" s="39"/>
      <x:c r="B149" s="39"/>
      <x:c r="C149" s="39"/>
      <x:c r="D149" s="39"/>
      <x:c r="E149" s="39"/>
      <x:c r="F149" s="39"/>
      <x:c r="G149" s="39"/>
      <x:c r="H149" s="39"/>
    </x:row>
    <x:row r="150">
      <x:c r="A150" s="39"/>
      <x:c r="B150" s="39"/>
      <x:c r="C150" s="39"/>
      <x:c r="D150" s="39"/>
      <x:c r="E150" s="39"/>
      <x:c r="F150" s="39"/>
      <x:c r="G150" s="39"/>
      <x:c r="H150" s="39"/>
    </x:row>
    <x:row r="151">
      <x:c r="A151" s="39"/>
      <x:c r="B151" s="39"/>
      <x:c r="C151" s="39"/>
      <x:c r="D151" s="39"/>
      <x:c r="E151" s="39"/>
      <x:c r="F151" s="39"/>
      <x:c r="G151" s="39"/>
      <x:c r="H151" s="39"/>
    </x:row>
    <x:row r="152">
      <x:c r="A152" s="39"/>
      <x:c r="B152" s="39"/>
      <x:c r="C152" s="39"/>
      <x:c r="D152" s="39"/>
      <x:c r="E152" s="39"/>
      <x:c r="F152" s="39"/>
      <x:c r="G152" s="39"/>
      <x:c r="H152" s="39"/>
    </x:row>
    <x:row r="153">
      <x:c r="A153" s="39"/>
      <x:c r="B153" s="39"/>
      <x:c r="C153" s="39"/>
      <x:c r="D153" s="39"/>
      <x:c r="E153" s="39"/>
      <x:c r="F153" s="39"/>
      <x:c r="G153" s="39"/>
      <x:c r="H153" s="39"/>
    </x:row>
    <x:row r="154">
      <x:c r="A154" s="39"/>
      <x:c r="B154" s="39"/>
      <x:c r="C154" s="39"/>
      <x:c r="D154" s="39"/>
      <x:c r="E154" s="39"/>
      <x:c r="F154" s="39"/>
      <x:c r="G154" s="39"/>
      <x:c r="H154" s="39"/>
    </x:row>
    <x:row r="155">
      <x:c r="A155" s="39"/>
      <x:c r="B155" s="39"/>
      <x:c r="C155" s="39"/>
      <x:c r="D155" s="39"/>
      <x:c r="E155" s="39"/>
      <x:c r="F155" s="39"/>
      <x:c r="G155" s="39"/>
      <x:c r="H155" s="39"/>
    </x:row>
    <x:row r="156">
      <x:c r="A156" s="39"/>
      <x:c r="B156" s="39"/>
      <x:c r="C156" s="39"/>
      <x:c r="D156" s="39"/>
      <x:c r="E156" s="39"/>
      <x:c r="F156" s="39"/>
      <x:c r="G156" s="39"/>
      <x:c r="H156" s="39"/>
    </x:row>
    <x:row r="157">
      <x:c r="A157" s="39"/>
      <x:c r="B157" s="39"/>
      <x:c r="C157" s="39"/>
      <x:c r="D157" s="39"/>
      <x:c r="E157" s="39"/>
      <x:c r="F157" s="39"/>
      <x:c r="G157" s="39"/>
      <x:c r="H157" s="39"/>
    </x:row>
    <x:row r="158">
      <x:c r="A158" s="39"/>
      <x:c r="B158" s="39"/>
      <x:c r="C158" s="39"/>
      <x:c r="D158" s="39"/>
      <x:c r="E158" s="39"/>
      <x:c r="F158" s="39"/>
      <x:c r="G158" s="39"/>
      <x:c r="H158" s="39"/>
    </x:row>
    <x:row r="159">
      <x:c r="A159" s="39"/>
      <x:c r="B159" s="39"/>
      <x:c r="C159" s="39"/>
      <x:c r="D159" s="39"/>
      <x:c r="E159" s="39"/>
      <x:c r="F159" s="39"/>
      <x:c r="G159" s="39"/>
      <x:c r="H159" s="39"/>
    </x:row>
    <x:row r="160">
      <x:c r="A160" s="39"/>
      <x:c r="B160" s="39"/>
      <x:c r="C160" s="39"/>
      <x:c r="D160" s="39"/>
      <x:c r="E160" s="39"/>
      <x:c r="F160" s="39"/>
      <x:c r="G160" s="39"/>
      <x:c r="H160" s="39"/>
    </x:row>
    <x:row r="161">
      <x:c r="A161" s="39"/>
      <x:c r="B161" s="39"/>
      <x:c r="C161" s="39"/>
      <x:c r="D161" s="39"/>
      <x:c r="E161" s="39"/>
      <x:c r="F161" s="39"/>
      <x:c r="G161" s="39"/>
      <x:c r="H161" s="39"/>
    </x:row>
    <x:row r="162">
      <x:c r="A162" s="39"/>
      <x:c r="B162" s="39"/>
      <x:c r="C162" s="39"/>
      <x:c r="D162" s="39"/>
      <x:c r="E162" s="39"/>
      <x:c r="F162" s="39"/>
      <x:c r="G162" s="39"/>
      <x:c r="H162" s="39"/>
    </x:row>
    <x:row r="163">
      <x:c r="A163" s="39"/>
      <x:c r="B163" s="39"/>
      <x:c r="C163" s="39"/>
      <x:c r="D163" s="39"/>
      <x:c r="E163" s="39"/>
      <x:c r="F163" s="39"/>
      <x:c r="G163" s="39"/>
      <x:c r="H163" s="39"/>
    </x:row>
    <x:row r="164">
      <x:c r="A164" s="39"/>
      <x:c r="B164" s="39"/>
      <x:c r="C164" s="39"/>
      <x:c r="D164" s="39"/>
      <x:c r="E164" s="39"/>
      <x:c r="F164" s="39"/>
      <x:c r="G164" s="39"/>
      <x:c r="H164" s="39"/>
    </x:row>
    <x:row r="165">
      <x:c r="A165" s="39"/>
      <x:c r="B165" s="39"/>
      <x:c r="C165" s="39"/>
      <x:c r="D165" s="39"/>
      <x:c r="E165" s="39"/>
      <x:c r="F165" s="39"/>
      <x:c r="G165" s="39"/>
      <x:c r="H165" s="39"/>
    </x:row>
    <x:row r="166">
      <x:c r="A166" s="39"/>
      <x:c r="B166" s="39"/>
      <x:c r="C166" s="39"/>
      <x:c r="D166" s="39"/>
      <x:c r="E166" s="39"/>
      <x:c r="F166" s="39"/>
      <x:c r="G166" s="39"/>
      <x:c r="H166" s="39"/>
    </x:row>
    <x:row r="167">
      <x:c r="A167" s="39"/>
      <x:c r="B167" s="39"/>
      <x:c r="C167" s="39"/>
      <x:c r="D167" s="39"/>
      <x:c r="E167" s="39"/>
      <x:c r="F167" s="39"/>
      <x:c r="G167" s="39"/>
      <x:c r="H167" s="39"/>
    </x:row>
    <x:row r="168">
      <x:c r="A168" s="39"/>
      <x:c r="B168" s="39"/>
      <x:c r="C168" s="39"/>
      <x:c r="D168" s="39"/>
      <x:c r="E168" s="39"/>
      <x:c r="F168" s="39"/>
      <x:c r="G168" s="39"/>
      <x:c r="H168" s="39"/>
    </x:row>
    <x:row r="169">
      <x:c r="A169" s="39"/>
      <x:c r="B169" s="39"/>
      <x:c r="C169" s="39"/>
      <x:c r="D169" s="39"/>
      <x:c r="E169" s="39"/>
      <x:c r="F169" s="39"/>
      <x:c r="G169" s="39"/>
      <x:c r="H169" s="39"/>
    </x:row>
    <x:row r="170">
      <x:c r="A170" s="39"/>
      <x:c r="B170" s="39"/>
      <x:c r="C170" s="39"/>
      <x:c r="D170" s="39"/>
      <x:c r="E170" s="39"/>
      <x:c r="F170" s="39"/>
      <x:c r="G170" s="39"/>
      <x:c r="H170" s="39"/>
    </x:row>
    <x:row r="171">
      <x:c r="A171" s="39"/>
      <x:c r="B171" s="39"/>
      <x:c r="C171" s="39"/>
      <x:c r="D171" s="39"/>
      <x:c r="E171" s="39"/>
      <x:c r="F171" s="39"/>
      <x:c r="G171" s="39"/>
      <x:c r="H171" s="39"/>
    </x:row>
    <x:row r="172">
      <x:c r="A172" s="39"/>
      <x:c r="B172" s="39"/>
      <x:c r="C172" s="39"/>
      <x:c r="D172" s="39"/>
      <x:c r="E172" s="39"/>
      <x:c r="F172" s="39"/>
      <x:c r="G172" s="39"/>
      <x:c r="H172" s="39"/>
    </x:row>
    <x:row r="173">
      <x:c r="A173" s="39"/>
      <x:c r="B173" s="39"/>
      <x:c r="C173" s="39"/>
      <x:c r="D173" s="39"/>
      <x:c r="E173" s="39"/>
      <x:c r="F173" s="39"/>
      <x:c r="G173" s="39"/>
      <x:c r="H173" s="39"/>
    </x:row>
    <x:row r="174">
      <x:c r="A174" s="39"/>
      <x:c r="B174" s="39"/>
      <x:c r="C174" s="39"/>
      <x:c r="D174" s="39"/>
      <x:c r="E174" s="39"/>
      <x:c r="F174" s="39"/>
      <x:c r="G174" s="39"/>
      <x:c r="H174" s="39"/>
    </x:row>
    <x:row r="175">
      <x:c r="A175" s="39"/>
      <x:c r="B175" s="39"/>
      <x:c r="C175" s="39"/>
      <x:c r="D175" s="39"/>
      <x:c r="E175" s="39"/>
      <x:c r="F175" s="39"/>
      <x:c r="G175" s="39"/>
      <x:c r="H175" s="39"/>
    </x:row>
    <x:row r="176">
      <x:c r="A176" s="39"/>
      <x:c r="B176" s="39"/>
      <x:c r="C176" s="39"/>
      <x:c r="D176" s="39"/>
      <x:c r="E176" s="39"/>
      <x:c r="F176" s="39"/>
      <x:c r="G176" s="39"/>
      <x:c r="H176" s="39"/>
    </x:row>
    <x:row r="177">
      <x:c r="A177" s="39"/>
      <x:c r="B177" s="39"/>
      <x:c r="C177" s="39"/>
      <x:c r="D177" s="39"/>
      <x:c r="E177" s="39"/>
      <x:c r="F177" s="39"/>
      <x:c r="G177" s="39"/>
      <x:c r="H177" s="39"/>
    </x:row>
    <x:row r="178">
      <x:c r="A178" s="39"/>
      <x:c r="B178" s="39"/>
      <x:c r="C178" s="39"/>
      <x:c r="D178" s="39"/>
      <x:c r="E178" s="39"/>
      <x:c r="F178" s="39"/>
      <x:c r="G178" s="39"/>
      <x:c r="H178" s="39"/>
    </x:row>
    <x:row r="179">
      <x:c r="A179" s="39"/>
      <x:c r="B179" s="39"/>
      <x:c r="C179" s="39"/>
      <x:c r="D179" s="39"/>
      <x:c r="E179" s="39"/>
      <x:c r="F179" s="39"/>
      <x:c r="G179" s="39"/>
      <x:c r="H179" s="39"/>
    </x:row>
    <x:row r="180">
      <x:c r="A180" s="39"/>
      <x:c r="B180" s="39"/>
      <x:c r="C180" s="39"/>
      <x:c r="D180" s="39"/>
      <x:c r="E180" s="39"/>
      <x:c r="F180" s="39"/>
      <x:c r="G180" s="39"/>
      <x:c r="H180" s="39"/>
    </x:row>
  </x:sheetData>
  <x:pageMargins left="0.7" right="0.7" top="0.75" bottom="0.75" header="0.3" footer="0.3"/>
</x:worksheet>
</file>